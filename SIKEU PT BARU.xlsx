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zmur Gusti Agung L\Documents\Mesin\"/>
    </mc:Choice>
  </mc:AlternateContent>
  <xr:revisionPtr revIDLastSave="0" documentId="13_ncr:1_{BCC973A9-244F-49AF-84B5-02563D242B9D}" xr6:coauthVersionLast="47" xr6:coauthVersionMax="47" xr10:uidLastSave="{00000000-0000-0000-0000-000000000000}"/>
  <bookViews>
    <workbookView xWindow="28680" yWindow="-120" windowWidth="29040" windowHeight="15720" firstSheet="9" activeTab="13" xr2:uid="{07E93667-A0D2-4136-A4F7-3D3718D078C2}"/>
  </bookViews>
  <sheets>
    <sheet name="Menu (0)" sheetId="12" r:id="rId1"/>
    <sheet name="HPP" sheetId="9" state="hidden" r:id="rId2"/>
    <sheet name="Transaksi (1)" sheetId="7" r:id="rId3"/>
    <sheet name="Formula (2)" sheetId="1" r:id="rId4"/>
    <sheet name="Jurnal Umum (3)" sheetId="2" r:id="rId5"/>
    <sheet name="Ledger (4)" sheetId="3" r:id="rId6"/>
    <sheet name="Trial Balance Ledger (5)" sheetId="11" r:id="rId7"/>
    <sheet name="Worksheet (6)" sheetId="5" r:id="rId8"/>
    <sheet name="Profit And Loss (7)" sheetId="25" r:id="rId9"/>
    <sheet name="Changes Capital Statement (9)" sheetId="14" r:id="rId10"/>
    <sheet name="Analisis (10)" sheetId="24" r:id="rId11"/>
    <sheet name="Laporan PK Pembantu (10.2)" sheetId="22" state="hidden" r:id="rId12"/>
    <sheet name="Financial Position statemen(11)" sheetId="16" r:id="rId13"/>
    <sheet name="Aruskas Pengganti" sheetId="27" r:id="rId14"/>
    <sheet name="Closing Journal (11)" sheetId="18" r:id="rId15"/>
    <sheet name="Closing Trial Balance (12)" sheetId="19" r:id="rId16"/>
    <sheet name="Control Panel (x)" sheetId="17" r:id="rId17"/>
    <sheet name="Sheet1" sheetId="10" state="hidden" r:id="rId18"/>
  </sheets>
  <definedNames>
    <definedName name="_xlnm._FilterDatabase" localSheetId="12" hidden="1">'Financial Position statemen(11)'!$A$6:$A$89</definedName>
    <definedName name="_xlnm._FilterDatabase" localSheetId="3" hidden="1">'Formula (2)'!$B$6:$B$146</definedName>
    <definedName name="_xlnm._FilterDatabase" localSheetId="5" hidden="1">'Ledger (4)'!$B$7:$B$38</definedName>
    <definedName name="_xlnm._FilterDatabase" localSheetId="8" hidden="1">'Profit And Loss (7)'!$A$6:$A$63</definedName>
    <definedName name="_xlnm._FilterDatabase" localSheetId="6" hidden="1">'Trial Balance Ledger (5)'!$B$7:$B$147</definedName>
    <definedName name="_xlnm._FilterDatabase" localSheetId="7" hidden="1">'Worksheet (6)'!$A$6:$A$148</definedName>
    <definedName name="analisis">'Analisis (10)'!$B$2:$E$10</definedName>
    <definedName name="_xlnm.Criteria" localSheetId="6">'Trial Balance Ledger (5)'!$B$8</definedName>
    <definedName name="daftarakun">'Formula (2)'!$C$2:$H$146</definedName>
    <definedName name="filter">'Ledger (4)'!$J$2</definedName>
    <definedName name="JB">'Jurnal Umum (3)'!$L$7:$L$96</definedName>
    <definedName name="JK">'Jurnal Umum (3)'!$M$7:$M$96</definedName>
    <definedName name="JP">#REF!</definedName>
    <definedName name="JU">'Jurnal Umum (3)'!$D:$M</definedName>
    <definedName name="Jurnal">'Jurnal Umum (3)'!$G:$M</definedName>
    <definedName name="kbju">'Jurnal Umum (3)'!$D:$E</definedName>
    <definedName name="KBNS">'Jurnal Umum (3)'!$B$7:$B$149</definedName>
    <definedName name="KBPNY">'Jurnal Umum (3)'!$C$7:$C$149</definedName>
    <definedName name="kode">'Formula (2)'!$C$7:$C$285</definedName>
    <definedName name="lap_lr">#REF!</definedName>
    <definedName name="neracalajur">'Worksheet (6)'!$B:$S</definedName>
    <definedName name="perubahanmodal">'Changes Capital Statement (9)'!$B:$G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6" l="1"/>
  <c r="A50" i="16"/>
  <c r="A51" i="16"/>
  <c r="A73" i="16"/>
  <c r="A85" i="16"/>
  <c r="A86" i="16"/>
  <c r="A88" i="16"/>
  <c r="A89" i="16"/>
  <c r="B84" i="16"/>
  <c r="F84" i="16" s="1"/>
  <c r="C84" i="16"/>
  <c r="A84" i="16" s="1"/>
  <c r="D84" i="16"/>
  <c r="B79" i="16"/>
  <c r="F79" i="16" s="1"/>
  <c r="B80" i="16"/>
  <c r="C80" i="16" s="1"/>
  <c r="A80" i="16" s="1"/>
  <c r="B81" i="16"/>
  <c r="F81" i="16" s="1"/>
  <c r="C81" i="16"/>
  <c r="A81" i="16" s="1"/>
  <c r="D81" i="16"/>
  <c r="B82" i="16"/>
  <c r="C82" i="16"/>
  <c r="A82" i="16" s="1"/>
  <c r="D82" i="16"/>
  <c r="F82" i="16"/>
  <c r="B83" i="16"/>
  <c r="F83" i="16" s="1"/>
  <c r="B75" i="16"/>
  <c r="B76" i="16"/>
  <c r="B77" i="16"/>
  <c r="B78" i="16"/>
  <c r="B74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52" i="16"/>
  <c r="B53" i="16"/>
  <c r="C87" i="16"/>
  <c r="A87" i="16" s="1"/>
  <c r="D87" i="16"/>
  <c r="E87" i="16"/>
  <c r="E88" i="16" s="1"/>
  <c r="B41" i="16"/>
  <c r="B42" i="16"/>
  <c r="B43" i="16"/>
  <c r="B44" i="16"/>
  <c r="B45" i="16"/>
  <c r="B46" i="16"/>
  <c r="B47" i="16"/>
  <c r="B48" i="16"/>
  <c r="B49" i="16"/>
  <c r="B30" i="16"/>
  <c r="B31" i="16"/>
  <c r="B32" i="16"/>
  <c r="B33" i="16"/>
  <c r="B34" i="16"/>
  <c r="B35" i="16"/>
  <c r="B36" i="16"/>
  <c r="B37" i="16"/>
  <c r="B38" i="16"/>
  <c r="B39" i="16"/>
  <c r="B40" i="16"/>
  <c r="B17" i="16"/>
  <c r="B18" i="16"/>
  <c r="B19" i="16"/>
  <c r="B20" i="16"/>
  <c r="B21" i="16"/>
  <c r="B22" i="16"/>
  <c r="B23" i="16"/>
  <c r="B24" i="16"/>
  <c r="B25" i="16"/>
  <c r="B26" i="16"/>
  <c r="B27" i="16"/>
  <c r="B18" i="1"/>
  <c r="B19" i="1"/>
  <c r="B20" i="1"/>
  <c r="B21" i="1"/>
  <c r="B22" i="1"/>
  <c r="B23" i="1"/>
  <c r="B24" i="1"/>
  <c r="B25" i="1"/>
  <c r="B26" i="1"/>
  <c r="B27" i="1"/>
  <c r="B40" i="1"/>
  <c r="B41" i="1"/>
  <c r="B42" i="1"/>
  <c r="B43" i="1"/>
  <c r="B44" i="1"/>
  <c r="B45" i="1"/>
  <c r="B46" i="1"/>
  <c r="B47" i="1"/>
  <c r="B48" i="1"/>
  <c r="B58" i="1"/>
  <c r="B59" i="1"/>
  <c r="B60" i="1"/>
  <c r="B61" i="1"/>
  <c r="B62" i="1"/>
  <c r="B63" i="1"/>
  <c r="B64" i="1"/>
  <c r="B65" i="1"/>
  <c r="B66" i="1"/>
  <c r="B67" i="1"/>
  <c r="B68" i="1"/>
  <c r="B69" i="1"/>
  <c r="B74" i="1"/>
  <c r="B75" i="1"/>
  <c r="B76" i="1"/>
  <c r="B77" i="1"/>
  <c r="B78" i="1"/>
  <c r="B79" i="1"/>
  <c r="B80" i="1"/>
  <c r="B84" i="1"/>
  <c r="B85" i="1"/>
  <c r="B86" i="1"/>
  <c r="B87" i="1"/>
  <c r="B88" i="1"/>
  <c r="B89" i="1"/>
  <c r="B90" i="1"/>
  <c r="B91" i="1"/>
  <c r="B92" i="1"/>
  <c r="B102" i="1"/>
  <c r="B103" i="1"/>
  <c r="B106" i="1"/>
  <c r="B107" i="1"/>
  <c r="B108" i="1"/>
  <c r="B109" i="1"/>
  <c r="B110" i="1"/>
  <c r="B111" i="1"/>
  <c r="B112" i="1"/>
  <c r="B113" i="1"/>
  <c r="B114" i="1"/>
  <c r="B138" i="1"/>
  <c r="B139" i="1"/>
  <c r="B140" i="1"/>
  <c r="B141" i="1"/>
  <c r="B142" i="1"/>
  <c r="B143" i="1"/>
  <c r="B144" i="1"/>
  <c r="B145" i="1"/>
  <c r="B19" i="5"/>
  <c r="B20" i="5"/>
  <c r="B21" i="5"/>
  <c r="B22" i="5"/>
  <c r="B23" i="5"/>
  <c r="B24" i="5"/>
  <c r="B25" i="5"/>
  <c r="B26" i="5"/>
  <c r="B27" i="5"/>
  <c r="B28" i="5"/>
  <c r="B41" i="5"/>
  <c r="B42" i="5"/>
  <c r="B43" i="5"/>
  <c r="B44" i="5"/>
  <c r="B45" i="5"/>
  <c r="B46" i="5"/>
  <c r="B47" i="5"/>
  <c r="B48" i="5"/>
  <c r="B49" i="5"/>
  <c r="B59" i="5"/>
  <c r="B60" i="5"/>
  <c r="B61" i="5"/>
  <c r="B62" i="5"/>
  <c r="B63" i="5"/>
  <c r="B64" i="5"/>
  <c r="B65" i="5"/>
  <c r="B66" i="5"/>
  <c r="B67" i="5"/>
  <c r="B68" i="5"/>
  <c r="B69" i="5"/>
  <c r="B70" i="5"/>
  <c r="B75" i="5"/>
  <c r="B76" i="5"/>
  <c r="B77" i="5"/>
  <c r="B78" i="5"/>
  <c r="B79" i="5"/>
  <c r="B80" i="5"/>
  <c r="B81" i="5"/>
  <c r="B85" i="5"/>
  <c r="B86" i="5"/>
  <c r="B87" i="5"/>
  <c r="B88" i="5"/>
  <c r="B89" i="5"/>
  <c r="B90" i="5"/>
  <c r="B91" i="5"/>
  <c r="B92" i="5"/>
  <c r="B93" i="5"/>
  <c r="B103" i="5"/>
  <c r="B104" i="5"/>
  <c r="B107" i="5"/>
  <c r="B108" i="5"/>
  <c r="B109" i="5"/>
  <c r="B110" i="5"/>
  <c r="B111" i="5"/>
  <c r="B112" i="5"/>
  <c r="B113" i="5"/>
  <c r="B114" i="5"/>
  <c r="B115" i="5"/>
  <c r="B139" i="5"/>
  <c r="B140" i="5"/>
  <c r="B141" i="5"/>
  <c r="B142" i="5"/>
  <c r="B143" i="5"/>
  <c r="B144" i="5"/>
  <c r="B145" i="5"/>
  <c r="B146" i="5"/>
  <c r="C7" i="2"/>
  <c r="B7" i="2" s="1"/>
  <c r="E7" i="2"/>
  <c r="D7" i="2" s="1"/>
  <c r="C8" i="2"/>
  <c r="B8" i="2" s="1"/>
  <c r="E8" i="2"/>
  <c r="C9" i="2"/>
  <c r="E9" i="2"/>
  <c r="D9" i="2" s="1"/>
  <c r="C10" i="2"/>
  <c r="B10" i="2" s="1"/>
  <c r="E10" i="2"/>
  <c r="C11" i="2"/>
  <c r="B11" i="2" s="1"/>
  <c r="E11" i="2"/>
  <c r="D11" i="2" s="1"/>
  <c r="C12" i="2"/>
  <c r="B12" i="2" s="1"/>
  <c r="E12" i="2"/>
  <c r="D12" i="2" s="1"/>
  <c r="C13" i="2"/>
  <c r="B13" i="2" s="1"/>
  <c r="E13" i="2"/>
  <c r="D13" i="2" s="1"/>
  <c r="C14" i="2"/>
  <c r="B14" i="2" s="1"/>
  <c r="E14" i="2"/>
  <c r="D14" i="2" s="1"/>
  <c r="C15" i="2"/>
  <c r="B15" i="2" s="1"/>
  <c r="E15" i="2"/>
  <c r="D15" i="2" s="1"/>
  <c r="C16" i="2"/>
  <c r="B16" i="2" s="1"/>
  <c r="E16" i="2"/>
  <c r="D16" i="2" s="1"/>
  <c r="C17" i="2"/>
  <c r="B17" i="2" s="1"/>
  <c r="E17" i="2"/>
  <c r="D17" i="2" s="1"/>
  <c r="C18" i="2"/>
  <c r="B18" i="2" s="1"/>
  <c r="E18" i="2"/>
  <c r="D18" i="2" s="1"/>
  <c r="C19" i="2"/>
  <c r="B19" i="2" s="1"/>
  <c r="E19" i="2"/>
  <c r="D19" i="2" s="1"/>
  <c r="C20" i="2"/>
  <c r="B20" i="2" s="1"/>
  <c r="E20" i="2"/>
  <c r="D20" i="2" s="1"/>
  <c r="C21" i="2"/>
  <c r="B21" i="2" s="1"/>
  <c r="E21" i="2"/>
  <c r="D21" i="2" s="1"/>
  <c r="C22" i="2"/>
  <c r="B22" i="2" s="1"/>
  <c r="E22" i="2"/>
  <c r="D22" i="2" s="1"/>
  <c r="C23" i="2"/>
  <c r="B23" i="2" s="1"/>
  <c r="E23" i="2"/>
  <c r="D23" i="2" s="1"/>
  <c r="C24" i="2"/>
  <c r="E24" i="2"/>
  <c r="D24" i="2" s="1"/>
  <c r="C25" i="2"/>
  <c r="B25" i="2" s="1"/>
  <c r="E25" i="2"/>
  <c r="D25" i="2" s="1"/>
  <c r="C26" i="2"/>
  <c r="B26" i="2" s="1"/>
  <c r="E26" i="2"/>
  <c r="D26" i="2" s="1"/>
  <c r="C27" i="2"/>
  <c r="B27" i="2" s="1"/>
  <c r="E27" i="2"/>
  <c r="D27" i="2" s="1"/>
  <c r="C28" i="2"/>
  <c r="B28" i="2" s="1"/>
  <c r="E28" i="2"/>
  <c r="D28" i="2" s="1"/>
  <c r="C29" i="2"/>
  <c r="B29" i="2" s="1"/>
  <c r="E29" i="2"/>
  <c r="D29" i="2" s="1"/>
  <c r="C30" i="2"/>
  <c r="B30" i="2" s="1"/>
  <c r="E30" i="2"/>
  <c r="D30" i="2" s="1"/>
  <c r="C31" i="2"/>
  <c r="B31" i="2" s="1"/>
  <c r="E31" i="2"/>
  <c r="D31" i="2" s="1"/>
  <c r="C32" i="2"/>
  <c r="B32" i="2" s="1"/>
  <c r="E32" i="2"/>
  <c r="D32" i="2" s="1"/>
  <c r="C33" i="2"/>
  <c r="B33" i="2" s="1"/>
  <c r="E33" i="2"/>
  <c r="D33" i="2" s="1"/>
  <c r="C34" i="2"/>
  <c r="B34" i="2" s="1"/>
  <c r="E34" i="2"/>
  <c r="D34" i="2" s="1"/>
  <c r="C35" i="2"/>
  <c r="B35" i="2" s="1"/>
  <c r="E35" i="2"/>
  <c r="D35" i="2" s="1"/>
  <c r="C36" i="2"/>
  <c r="B36" i="2" s="1"/>
  <c r="E36" i="2"/>
  <c r="D36" i="2" s="1"/>
  <c r="C37" i="2"/>
  <c r="B37" i="2" s="1"/>
  <c r="E37" i="2"/>
  <c r="D37" i="2" s="1"/>
  <c r="C38" i="2"/>
  <c r="B38" i="2" s="1"/>
  <c r="E38" i="2"/>
  <c r="D38" i="2" s="1"/>
  <c r="C39" i="2"/>
  <c r="B39" i="2" s="1"/>
  <c r="E39" i="2"/>
  <c r="D39" i="2" s="1"/>
  <c r="C40" i="2"/>
  <c r="B40" i="2" s="1"/>
  <c r="E40" i="2"/>
  <c r="D40" i="2" s="1"/>
  <c r="C41" i="2"/>
  <c r="B41" i="2" s="1"/>
  <c r="E41" i="2"/>
  <c r="D41" i="2" s="1"/>
  <c r="C42" i="2"/>
  <c r="B42" i="2" s="1"/>
  <c r="E42" i="2"/>
  <c r="D42" i="2" s="1"/>
  <c r="C43" i="2"/>
  <c r="B43" i="2" s="1"/>
  <c r="E43" i="2"/>
  <c r="D43" i="2" s="1"/>
  <c r="C44" i="2"/>
  <c r="B44" i="2" s="1"/>
  <c r="E44" i="2"/>
  <c r="D44" i="2" s="1"/>
  <c r="C45" i="2"/>
  <c r="B45" i="2" s="1"/>
  <c r="E45" i="2"/>
  <c r="D45" i="2" s="1"/>
  <c r="C46" i="2"/>
  <c r="B46" i="2" s="1"/>
  <c r="E46" i="2"/>
  <c r="D46" i="2" s="1"/>
  <c r="C47" i="2"/>
  <c r="B47" i="2" s="1"/>
  <c r="E47" i="2"/>
  <c r="D47" i="2" s="1"/>
  <c r="C48" i="2"/>
  <c r="B48" i="2" s="1"/>
  <c r="E48" i="2"/>
  <c r="D48" i="2" s="1"/>
  <c r="C49" i="2"/>
  <c r="B49" i="2" s="1"/>
  <c r="E49" i="2"/>
  <c r="D49" i="2" s="1"/>
  <c r="C50" i="2"/>
  <c r="B50" i="2" s="1"/>
  <c r="E50" i="2"/>
  <c r="D50" i="2" s="1"/>
  <c r="C51" i="2"/>
  <c r="B51" i="2" s="1"/>
  <c r="E51" i="2"/>
  <c r="D51" i="2" s="1"/>
  <c r="C52" i="2"/>
  <c r="B52" i="2" s="1"/>
  <c r="E52" i="2"/>
  <c r="D52" i="2" s="1"/>
  <c r="C53" i="2"/>
  <c r="B53" i="2" s="1"/>
  <c r="E53" i="2"/>
  <c r="D53" i="2" s="1"/>
  <c r="C54" i="2"/>
  <c r="B54" i="2" s="1"/>
  <c r="E54" i="2"/>
  <c r="D54" i="2" s="1"/>
  <c r="C55" i="2"/>
  <c r="B55" i="2" s="1"/>
  <c r="E55" i="2"/>
  <c r="D55" i="2" s="1"/>
  <c r="C56" i="2"/>
  <c r="B56" i="2" s="1"/>
  <c r="E56" i="2"/>
  <c r="D56" i="2" s="1"/>
  <c r="C57" i="2"/>
  <c r="B57" i="2" s="1"/>
  <c r="E57" i="2"/>
  <c r="D57" i="2" s="1"/>
  <c r="C58" i="2"/>
  <c r="B58" i="2" s="1"/>
  <c r="E58" i="2"/>
  <c r="D58" i="2" s="1"/>
  <c r="C59" i="2"/>
  <c r="B59" i="2" s="1"/>
  <c r="E59" i="2"/>
  <c r="D59" i="2" s="1"/>
  <c r="C60" i="2"/>
  <c r="B60" i="2" s="1"/>
  <c r="E60" i="2"/>
  <c r="D60" i="2" s="1"/>
  <c r="C61" i="2"/>
  <c r="B61" i="2" s="1"/>
  <c r="E61" i="2"/>
  <c r="D61" i="2" s="1"/>
  <c r="C62" i="2"/>
  <c r="B62" i="2" s="1"/>
  <c r="E62" i="2"/>
  <c r="D62" i="2" s="1"/>
  <c r="C63" i="2"/>
  <c r="B63" i="2" s="1"/>
  <c r="E63" i="2"/>
  <c r="D63" i="2" s="1"/>
  <c r="C64" i="2"/>
  <c r="B64" i="2" s="1"/>
  <c r="E64" i="2"/>
  <c r="D64" i="2" s="1"/>
  <c r="C65" i="2"/>
  <c r="B65" i="2" s="1"/>
  <c r="E65" i="2"/>
  <c r="D65" i="2" s="1"/>
  <c r="C66" i="2"/>
  <c r="B66" i="2" s="1"/>
  <c r="E66" i="2"/>
  <c r="D66" i="2" s="1"/>
  <c r="C67" i="2"/>
  <c r="B67" i="2" s="1"/>
  <c r="E67" i="2"/>
  <c r="D67" i="2" s="1"/>
  <c r="C68" i="2"/>
  <c r="B68" i="2" s="1"/>
  <c r="E68" i="2"/>
  <c r="D68" i="2" s="1"/>
  <c r="C69" i="2"/>
  <c r="B69" i="2" s="1"/>
  <c r="E69" i="2"/>
  <c r="D69" i="2" s="1"/>
  <c r="C70" i="2"/>
  <c r="B70" i="2" s="1"/>
  <c r="E70" i="2"/>
  <c r="D70" i="2" s="1"/>
  <c r="C71" i="2"/>
  <c r="B71" i="2" s="1"/>
  <c r="E71" i="2"/>
  <c r="D71" i="2" s="1"/>
  <c r="C72" i="2"/>
  <c r="B72" i="2" s="1"/>
  <c r="E72" i="2"/>
  <c r="D72" i="2" s="1"/>
  <c r="C73" i="2"/>
  <c r="B73" i="2" s="1"/>
  <c r="E73" i="2"/>
  <c r="D73" i="2" s="1"/>
  <c r="C74" i="2"/>
  <c r="B74" i="2" s="1"/>
  <c r="E74" i="2"/>
  <c r="D74" i="2" s="1"/>
  <c r="C75" i="2"/>
  <c r="B75" i="2" s="1"/>
  <c r="E75" i="2"/>
  <c r="D75" i="2" s="1"/>
  <c r="C76" i="2"/>
  <c r="B76" i="2" s="1"/>
  <c r="E76" i="2"/>
  <c r="D76" i="2" s="1"/>
  <c r="C77" i="2"/>
  <c r="B77" i="2" s="1"/>
  <c r="E77" i="2"/>
  <c r="D77" i="2" s="1"/>
  <c r="C78" i="2"/>
  <c r="B78" i="2" s="1"/>
  <c r="E78" i="2"/>
  <c r="D78" i="2" s="1"/>
  <c r="C79" i="2"/>
  <c r="B79" i="2" s="1"/>
  <c r="E79" i="2"/>
  <c r="D79" i="2" s="1"/>
  <c r="C80" i="2"/>
  <c r="B80" i="2" s="1"/>
  <c r="E80" i="2"/>
  <c r="D80" i="2" s="1"/>
  <c r="C81" i="2"/>
  <c r="B81" i="2" s="1"/>
  <c r="E81" i="2"/>
  <c r="D81" i="2" s="1"/>
  <c r="C82" i="2"/>
  <c r="B82" i="2" s="1"/>
  <c r="E82" i="2"/>
  <c r="D82" i="2" s="1"/>
  <c r="C83" i="2"/>
  <c r="B83" i="2" s="1"/>
  <c r="E83" i="2"/>
  <c r="D83" i="2" s="1"/>
  <c r="C84" i="2"/>
  <c r="B84" i="2" s="1"/>
  <c r="E84" i="2"/>
  <c r="D84" i="2" s="1"/>
  <c r="C85" i="2"/>
  <c r="B85" i="2" s="1"/>
  <c r="E85" i="2"/>
  <c r="D85" i="2" s="1"/>
  <c r="C86" i="2"/>
  <c r="B86" i="2" s="1"/>
  <c r="E86" i="2"/>
  <c r="D86" i="2" s="1"/>
  <c r="C87" i="2"/>
  <c r="B87" i="2" s="1"/>
  <c r="E87" i="2"/>
  <c r="D87" i="2" s="1"/>
  <c r="C88" i="2"/>
  <c r="B88" i="2" s="1"/>
  <c r="E88" i="2"/>
  <c r="D88" i="2" s="1"/>
  <c r="C89" i="2"/>
  <c r="B89" i="2" s="1"/>
  <c r="E89" i="2"/>
  <c r="D89" i="2" s="1"/>
  <c r="C90" i="2"/>
  <c r="B90" i="2" s="1"/>
  <c r="E90" i="2"/>
  <c r="D90" i="2" s="1"/>
  <c r="C91" i="2"/>
  <c r="B91" i="2" s="1"/>
  <c r="E91" i="2"/>
  <c r="D91" i="2" s="1"/>
  <c r="C92" i="2"/>
  <c r="B92" i="2" s="1"/>
  <c r="E92" i="2"/>
  <c r="D92" i="2" s="1"/>
  <c r="C93" i="2"/>
  <c r="B93" i="2" s="1"/>
  <c r="E93" i="2"/>
  <c r="D93" i="2" s="1"/>
  <c r="C94" i="2"/>
  <c r="B94" i="2" s="1"/>
  <c r="E94" i="2"/>
  <c r="D94" i="2" s="1"/>
  <c r="C95" i="2"/>
  <c r="B95" i="2" s="1"/>
  <c r="E95" i="2"/>
  <c r="D95" i="2" s="1"/>
  <c r="A29" i="25"/>
  <c r="A30" i="25"/>
  <c r="B135" i="5"/>
  <c r="B136" i="5"/>
  <c r="B51" i="25" s="1"/>
  <c r="B137" i="5"/>
  <c r="B138" i="5"/>
  <c r="B53" i="25" s="1"/>
  <c r="B9" i="5"/>
  <c r="B8" i="16" s="1"/>
  <c r="B10" i="5"/>
  <c r="B9" i="19" s="1"/>
  <c r="B11" i="5"/>
  <c r="B10" i="19" s="1"/>
  <c r="B12" i="5"/>
  <c r="B13" i="5"/>
  <c r="B12" i="19" s="1"/>
  <c r="B14" i="5"/>
  <c r="B15" i="5"/>
  <c r="B14" i="19" s="1"/>
  <c r="B16" i="5"/>
  <c r="B15" i="19" s="1"/>
  <c r="B17" i="5"/>
  <c r="B16" i="19" s="1"/>
  <c r="B18" i="5"/>
  <c r="B17" i="19" s="1"/>
  <c r="B29" i="5"/>
  <c r="B30" i="5"/>
  <c r="B31" i="5"/>
  <c r="B32" i="5"/>
  <c r="B33" i="5"/>
  <c r="B32" i="19" s="1"/>
  <c r="B34" i="5"/>
  <c r="B33" i="19" s="1"/>
  <c r="B35" i="5"/>
  <c r="B36" i="5"/>
  <c r="B37" i="5"/>
  <c r="B38" i="5"/>
  <c r="B39" i="5"/>
  <c r="B40" i="5"/>
  <c r="B50" i="5"/>
  <c r="B51" i="5"/>
  <c r="B52" i="5"/>
  <c r="B53" i="5"/>
  <c r="B54" i="5"/>
  <c r="B55" i="5"/>
  <c r="B56" i="5"/>
  <c r="B57" i="5"/>
  <c r="B58" i="5"/>
  <c r="B71" i="5"/>
  <c r="B72" i="5"/>
  <c r="B73" i="5"/>
  <c r="B74" i="5"/>
  <c r="B82" i="5"/>
  <c r="B83" i="5"/>
  <c r="B84" i="5"/>
  <c r="B94" i="5"/>
  <c r="B95" i="5"/>
  <c r="B96" i="5"/>
  <c r="B97" i="5"/>
  <c r="B98" i="5"/>
  <c r="B99" i="5"/>
  <c r="B100" i="5"/>
  <c r="B101" i="5"/>
  <c r="B14" i="25" s="1"/>
  <c r="B102" i="5"/>
  <c r="B105" i="5"/>
  <c r="B106" i="5"/>
  <c r="B116" i="5"/>
  <c r="B117" i="5"/>
  <c r="B118" i="5"/>
  <c r="B33" i="25" s="1"/>
  <c r="B119" i="5"/>
  <c r="B120" i="5"/>
  <c r="B121" i="5"/>
  <c r="B122" i="5"/>
  <c r="B37" i="25" s="1"/>
  <c r="B123" i="5"/>
  <c r="B124" i="5"/>
  <c r="B39" i="25" s="1"/>
  <c r="B125" i="5"/>
  <c r="B126" i="5"/>
  <c r="B127" i="5"/>
  <c r="B128" i="5"/>
  <c r="B43" i="25" s="1"/>
  <c r="B129" i="5"/>
  <c r="B130" i="5"/>
  <c r="B45" i="25" s="1"/>
  <c r="B131" i="5"/>
  <c r="B132" i="5"/>
  <c r="B47" i="25" s="1"/>
  <c r="B133" i="5"/>
  <c r="B134" i="5"/>
  <c r="B49" i="25" s="1"/>
  <c r="B8" i="5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9" i="11"/>
  <c r="C10" i="11"/>
  <c r="C11" i="11"/>
  <c r="C12" i="11"/>
  <c r="C13" i="11"/>
  <c r="C14" i="11"/>
  <c r="C15" i="11"/>
  <c r="C16" i="11"/>
  <c r="C17" i="11"/>
  <c r="C18" i="11"/>
  <c r="H146" i="1"/>
  <c r="G146" i="1"/>
  <c r="B137" i="1"/>
  <c r="B8" i="1"/>
  <c r="B9" i="1"/>
  <c r="B10" i="1"/>
  <c r="B11" i="1"/>
  <c r="B12" i="1"/>
  <c r="B13" i="1"/>
  <c r="B14" i="1"/>
  <c r="B15" i="1"/>
  <c r="B16" i="1"/>
  <c r="B17" i="1"/>
  <c r="B28" i="1"/>
  <c r="B29" i="1"/>
  <c r="B30" i="1"/>
  <c r="B31" i="1"/>
  <c r="B32" i="1"/>
  <c r="B33" i="1"/>
  <c r="B34" i="1"/>
  <c r="B35" i="1"/>
  <c r="B36" i="1"/>
  <c r="B37" i="1"/>
  <c r="B38" i="1"/>
  <c r="B39" i="1"/>
  <c r="B49" i="1"/>
  <c r="B50" i="1"/>
  <c r="B51" i="1"/>
  <c r="B52" i="1"/>
  <c r="B53" i="1"/>
  <c r="B54" i="1"/>
  <c r="B55" i="1"/>
  <c r="B56" i="1"/>
  <c r="B57" i="1"/>
  <c r="B70" i="1"/>
  <c r="B71" i="1"/>
  <c r="B72" i="1"/>
  <c r="B73" i="1"/>
  <c r="B81" i="1"/>
  <c r="B82" i="1"/>
  <c r="B83" i="1"/>
  <c r="B93" i="1"/>
  <c r="B94" i="1"/>
  <c r="B95" i="1"/>
  <c r="B96" i="1"/>
  <c r="B97" i="1"/>
  <c r="B98" i="1"/>
  <c r="B99" i="1"/>
  <c r="B100" i="1"/>
  <c r="B101" i="1"/>
  <c r="B104" i="1"/>
  <c r="B105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7" i="1"/>
  <c r="K12" i="2"/>
  <c r="K15" i="2"/>
  <c r="K19" i="2"/>
  <c r="K22" i="2"/>
  <c r="K25" i="2"/>
  <c r="K28" i="2"/>
  <c r="K31" i="2"/>
  <c r="K37" i="2"/>
  <c r="K40" i="2"/>
  <c r="K43" i="2"/>
  <c r="K46" i="2"/>
  <c r="K49" i="2"/>
  <c r="K52" i="2"/>
  <c r="K55" i="2"/>
  <c r="K58" i="2"/>
  <c r="K61" i="2"/>
  <c r="K64" i="2"/>
  <c r="K67" i="2"/>
  <c r="K70" i="2"/>
  <c r="K73" i="2"/>
  <c r="K76" i="2"/>
  <c r="K79" i="2"/>
  <c r="K82" i="2"/>
  <c r="K85" i="2"/>
  <c r="K88" i="2"/>
  <c r="K91" i="2"/>
  <c r="K92" i="2"/>
  <c r="K93" i="2"/>
  <c r="K94" i="2"/>
  <c r="D30" i="27"/>
  <c r="D15" i="27"/>
  <c r="F80" i="16" l="1"/>
  <c r="D80" i="16"/>
  <c r="D83" i="16"/>
  <c r="C83" i="16"/>
  <c r="A83" i="16" s="1"/>
  <c r="D79" i="16"/>
  <c r="C79" i="16"/>
  <c r="A79" i="16" s="1"/>
  <c r="D20" i="16"/>
  <c r="M111" i="5"/>
  <c r="M88" i="5"/>
  <c r="L48" i="5"/>
  <c r="M24" i="5"/>
  <c r="L145" i="5"/>
  <c r="M144" i="5"/>
  <c r="L109" i="5"/>
  <c r="M108" i="5"/>
  <c r="M85" i="5"/>
  <c r="M66" i="5"/>
  <c r="L21" i="5"/>
  <c r="L141" i="5"/>
  <c r="M19" i="5"/>
  <c r="M63" i="5"/>
  <c r="M41" i="5"/>
  <c r="L92" i="5"/>
  <c r="L61" i="5"/>
  <c r="L114" i="5"/>
  <c r="M113" i="5"/>
  <c r="M75" i="5"/>
  <c r="L26" i="5"/>
  <c r="B43" i="19"/>
  <c r="M23" i="5"/>
  <c r="L87" i="5"/>
  <c r="B18" i="19"/>
  <c r="M68" i="5"/>
  <c r="M22" i="5"/>
  <c r="M21" i="5"/>
  <c r="M28" i="5"/>
  <c r="L28" i="5"/>
  <c r="L23" i="5"/>
  <c r="B27" i="19"/>
  <c r="M46" i="5"/>
  <c r="B21" i="19"/>
  <c r="B26" i="19"/>
  <c r="M20" i="5"/>
  <c r="B19" i="19"/>
  <c r="M42" i="5"/>
  <c r="L24" i="5"/>
  <c r="L20" i="5"/>
  <c r="L42" i="5"/>
  <c r="L44" i="5"/>
  <c r="L27" i="5"/>
  <c r="B24" i="19"/>
  <c r="M44" i="5"/>
  <c r="L43" i="5"/>
  <c r="L19" i="5"/>
  <c r="B22" i="19"/>
  <c r="L45" i="5"/>
  <c r="F28" i="5"/>
  <c r="M27" i="5"/>
  <c r="L22" i="5"/>
  <c r="L88" i="5"/>
  <c r="D28" i="5"/>
  <c r="D27" i="16" s="1"/>
  <c r="M25" i="5"/>
  <c r="M77" i="5"/>
  <c r="L66" i="5"/>
  <c r="L25" i="5"/>
  <c r="D21" i="5"/>
  <c r="M26" i="5"/>
  <c r="M43" i="5"/>
  <c r="L41" i="5"/>
  <c r="L46" i="5"/>
  <c r="M70" i="5"/>
  <c r="L91" i="5"/>
  <c r="L70" i="5"/>
  <c r="L63" i="5"/>
  <c r="M49" i="5"/>
  <c r="M69" i="5"/>
  <c r="M67" i="5"/>
  <c r="M59" i="5"/>
  <c r="L49" i="5"/>
  <c r="L69" i="5"/>
  <c r="L67" i="5"/>
  <c r="M47" i="5"/>
  <c r="L47" i="5"/>
  <c r="L68" i="5"/>
  <c r="M45" i="5"/>
  <c r="M48" i="5"/>
  <c r="L64" i="5"/>
  <c r="M91" i="5"/>
  <c r="M64" i="5"/>
  <c r="L59" i="5"/>
  <c r="M62" i="5"/>
  <c r="L62" i="5"/>
  <c r="M60" i="5"/>
  <c r="M87" i="5"/>
  <c r="M76" i="5"/>
  <c r="M65" i="5"/>
  <c r="L60" i="5"/>
  <c r="L65" i="5"/>
  <c r="L93" i="5"/>
  <c r="L80" i="5"/>
  <c r="L77" i="5"/>
  <c r="M61" i="5"/>
  <c r="M90" i="5"/>
  <c r="M93" i="5"/>
  <c r="M80" i="5"/>
  <c r="L75" i="5"/>
  <c r="M78" i="5"/>
  <c r="L78" i="5"/>
  <c r="L112" i="5"/>
  <c r="L85" i="5"/>
  <c r="M81" i="5"/>
  <c r="L76" i="5"/>
  <c r="L81" i="5"/>
  <c r="M79" i="5"/>
  <c r="L144" i="5"/>
  <c r="L113" i="5"/>
  <c r="L79" i="5"/>
  <c r="L143" i="5"/>
  <c r="L90" i="5"/>
  <c r="M143" i="5"/>
  <c r="M103" i="5"/>
  <c r="M86" i="5"/>
  <c r="L103" i="5"/>
  <c r="L86" i="5"/>
  <c r="M89" i="5"/>
  <c r="L140" i="5"/>
  <c r="L89" i="5"/>
  <c r="M92" i="5"/>
  <c r="L107" i="5"/>
  <c r="M112" i="5"/>
  <c r="M109" i="5"/>
  <c r="M107" i="5"/>
  <c r="M104" i="5"/>
  <c r="L104" i="5"/>
  <c r="L108" i="5"/>
  <c r="L111" i="5"/>
  <c r="M110" i="5"/>
  <c r="M115" i="5"/>
  <c r="L110" i="5"/>
  <c r="B55" i="25"/>
  <c r="L115" i="5"/>
  <c r="B61" i="25"/>
  <c r="M114" i="5"/>
  <c r="M140" i="5"/>
  <c r="M146" i="5"/>
  <c r="L146" i="5"/>
  <c r="M139" i="5"/>
  <c r="L139" i="5"/>
  <c r="M142" i="5"/>
  <c r="B57" i="25"/>
  <c r="L142" i="5"/>
  <c r="M145" i="5"/>
  <c r="M141" i="5"/>
  <c r="D8" i="2"/>
  <c r="B56" i="25"/>
  <c r="B15" i="25"/>
  <c r="B32" i="25"/>
  <c r="B16" i="25"/>
  <c r="B24" i="25"/>
  <c r="B23" i="25"/>
  <c r="B44" i="25"/>
  <c r="B22" i="25"/>
  <c r="B13" i="25"/>
  <c r="B28" i="25"/>
  <c r="B42" i="25"/>
  <c r="B54" i="25"/>
  <c r="B12" i="25"/>
  <c r="B31" i="25"/>
  <c r="B41" i="25"/>
  <c r="B11" i="25"/>
  <c r="B52" i="25"/>
  <c r="B40" i="25"/>
  <c r="B60" i="25"/>
  <c r="B7" i="25"/>
  <c r="B10" i="25"/>
  <c r="B59" i="25"/>
  <c r="B21" i="25"/>
  <c r="B9" i="25"/>
  <c r="B50" i="25"/>
  <c r="B38" i="25"/>
  <c r="B58" i="25"/>
  <c r="B20" i="25"/>
  <c r="B8" i="25"/>
  <c r="B19" i="25"/>
  <c r="B27" i="25"/>
  <c r="B48" i="25"/>
  <c r="B36" i="25"/>
  <c r="H148" i="1"/>
  <c r="B18" i="25"/>
  <c r="B26" i="25"/>
  <c r="B35" i="25"/>
  <c r="B17" i="25"/>
  <c r="B25" i="25"/>
  <c r="B46" i="25"/>
  <c r="B34" i="25"/>
  <c r="D10" i="2"/>
  <c r="M13" i="5"/>
  <c r="M35" i="5"/>
  <c r="M9" i="5"/>
  <c r="L134" i="5"/>
  <c r="L84" i="5"/>
  <c r="B24" i="2"/>
  <c r="B9" i="2"/>
  <c r="L138" i="5"/>
  <c r="L118" i="5"/>
  <c r="L136" i="5"/>
  <c r="M29" i="5"/>
  <c r="L101" i="5"/>
  <c r="M39" i="5"/>
  <c r="M126" i="5"/>
  <c r="M37" i="5"/>
  <c r="M17" i="5"/>
  <c r="M15" i="5"/>
  <c r="L132" i="5"/>
  <c r="M124" i="5"/>
  <c r="L97" i="5"/>
  <c r="M130" i="5"/>
  <c r="M33" i="5"/>
  <c r="M128" i="5"/>
  <c r="M31" i="5"/>
  <c r="M11" i="5"/>
  <c r="M55" i="5"/>
  <c r="M135" i="5"/>
  <c r="B29" i="19"/>
  <c r="B11" i="16"/>
  <c r="L95" i="5"/>
  <c r="M82" i="5"/>
  <c r="B36" i="19"/>
  <c r="B35" i="19"/>
  <c r="B20" i="19"/>
  <c r="L82" i="5"/>
  <c r="M137" i="5"/>
  <c r="M57" i="5"/>
  <c r="M53" i="5"/>
  <c r="M56" i="5"/>
  <c r="L105" i="5"/>
  <c r="M94" i="5"/>
  <c r="L94" i="5"/>
  <c r="M51" i="5"/>
  <c r="L137" i="5"/>
  <c r="L135" i="5"/>
  <c r="M138" i="5"/>
  <c r="M136" i="5"/>
  <c r="B23" i="19"/>
  <c r="L71" i="5"/>
  <c r="M72" i="5"/>
  <c r="M119" i="5"/>
  <c r="M74" i="5"/>
  <c r="L72" i="5"/>
  <c r="L8" i="5"/>
  <c r="L124" i="5"/>
  <c r="L119" i="5"/>
  <c r="L96" i="5"/>
  <c r="L83" i="5"/>
  <c r="L74" i="5"/>
  <c r="M125" i="5"/>
  <c r="B28" i="19"/>
  <c r="L125" i="5"/>
  <c r="M122" i="5"/>
  <c r="L130" i="5"/>
  <c r="L128" i="5"/>
  <c r="L126" i="5"/>
  <c r="M123" i="5"/>
  <c r="L123" i="5"/>
  <c r="L98" i="5"/>
  <c r="M97" i="5"/>
  <c r="M96" i="5"/>
  <c r="M95" i="5"/>
  <c r="M71" i="5"/>
  <c r="L58" i="5"/>
  <c r="M58" i="5"/>
  <c r="M106" i="5"/>
  <c r="M131" i="5"/>
  <c r="M127" i="5"/>
  <c r="M133" i="5"/>
  <c r="M129" i="5"/>
  <c r="L133" i="5"/>
  <c r="L131" i="5"/>
  <c r="L129" i="5"/>
  <c r="L127" i="5"/>
  <c r="L73" i="5"/>
  <c r="L122" i="5"/>
  <c r="L106" i="5"/>
  <c r="M84" i="5"/>
  <c r="M118" i="5"/>
  <c r="M121" i="5"/>
  <c r="M120" i="5"/>
  <c r="M117" i="5"/>
  <c r="M116" i="5"/>
  <c r="M105" i="5"/>
  <c r="L121" i="5"/>
  <c r="M73" i="5"/>
  <c r="M134" i="5"/>
  <c r="M132" i="5"/>
  <c r="M102" i="5"/>
  <c r="L120" i="5"/>
  <c r="L116" i="5"/>
  <c r="L102" i="5"/>
  <c r="M101" i="5"/>
  <c r="M100" i="5"/>
  <c r="M99" i="5"/>
  <c r="L117" i="5"/>
  <c r="L100" i="5"/>
  <c r="L99" i="5"/>
  <c r="M98" i="5"/>
  <c r="M83" i="5"/>
  <c r="L29" i="5"/>
  <c r="L40" i="5"/>
  <c r="M40" i="5"/>
  <c r="L33" i="5"/>
  <c r="L39" i="5"/>
  <c r="L15" i="5"/>
  <c r="L35" i="5"/>
  <c r="L11" i="5"/>
  <c r="L57" i="5"/>
  <c r="L56" i="5"/>
  <c r="L31" i="5"/>
  <c r="L17" i="5"/>
  <c r="L55" i="5"/>
  <c r="L54" i="5"/>
  <c r="M54" i="5"/>
  <c r="L53" i="5"/>
  <c r="L52" i="5"/>
  <c r="M52" i="5"/>
  <c r="L51" i="5"/>
  <c r="L50" i="5"/>
  <c r="M50" i="5"/>
  <c r="L37" i="5"/>
  <c r="L13" i="5"/>
  <c r="L9" i="5"/>
  <c r="M38" i="5"/>
  <c r="M36" i="5"/>
  <c r="M34" i="5"/>
  <c r="M32" i="5"/>
  <c r="M30" i="5"/>
  <c r="M18" i="5"/>
  <c r="M16" i="5"/>
  <c r="M14" i="5"/>
  <c r="M12" i="5"/>
  <c r="M10" i="5"/>
  <c r="L38" i="5"/>
  <c r="L36" i="5"/>
  <c r="L34" i="5"/>
  <c r="L32" i="5"/>
  <c r="L30" i="5"/>
  <c r="L18" i="5"/>
  <c r="L16" i="5"/>
  <c r="L14" i="5"/>
  <c r="L12" i="5"/>
  <c r="L10" i="5"/>
  <c r="M8" i="5"/>
  <c r="E25" i="11"/>
  <c r="L25" i="11" s="1"/>
  <c r="D25" i="11"/>
  <c r="B25" i="11" s="1"/>
  <c r="E24" i="11"/>
  <c r="L24" i="11" s="1"/>
  <c r="D23" i="11"/>
  <c r="B23" i="11" s="1"/>
  <c r="B11" i="19"/>
  <c r="B34" i="19"/>
  <c r="B31" i="19"/>
  <c r="B39" i="19"/>
  <c r="B38" i="19"/>
  <c r="B8" i="19"/>
  <c r="B15" i="16"/>
  <c r="B14" i="16"/>
  <c r="B9" i="16"/>
  <c r="B42" i="19"/>
  <c r="B30" i="19"/>
  <c r="B41" i="19"/>
  <c r="B29" i="16"/>
  <c r="B16" i="16"/>
  <c r="B40" i="19"/>
  <c r="B13" i="16"/>
  <c r="B37" i="19"/>
  <c r="B25" i="19"/>
  <c r="B13" i="19"/>
  <c r="B12" i="16"/>
  <c r="B10" i="16"/>
  <c r="D35" i="27"/>
  <c r="D2" i="3"/>
  <c r="B26" i="22"/>
  <c r="B27" i="22"/>
  <c r="B28" i="22"/>
  <c r="B29" i="22"/>
  <c r="B30" i="22"/>
  <c r="B31" i="22"/>
  <c r="B38" i="22"/>
  <c r="B41" i="22"/>
  <c r="C4" i="1"/>
  <c r="H27" i="11" s="1"/>
  <c r="C2" i="1"/>
  <c r="G20" i="11" s="1"/>
  <c r="I27" i="5" l="1"/>
  <c r="H41" i="5"/>
  <c r="I110" i="5"/>
  <c r="H146" i="5"/>
  <c r="I48" i="5"/>
  <c r="H141" i="5"/>
  <c r="H91" i="5"/>
  <c r="I88" i="5"/>
  <c r="I87" i="5"/>
  <c r="I75" i="5"/>
  <c r="I86" i="5"/>
  <c r="I114" i="5"/>
  <c r="H104" i="5"/>
  <c r="I145" i="5"/>
  <c r="I92" i="5"/>
  <c r="I67" i="5"/>
  <c r="H142" i="5"/>
  <c r="I93" i="5"/>
  <c r="H42" i="5"/>
  <c r="H46" i="5"/>
  <c r="I141" i="5"/>
  <c r="H107" i="5"/>
  <c r="H63" i="5"/>
  <c r="H115" i="5"/>
  <c r="I20" i="5"/>
  <c r="H143" i="5"/>
  <c r="H140" i="5"/>
  <c r="H49" i="5"/>
  <c r="I144" i="5"/>
  <c r="H103" i="5"/>
  <c r="I61" i="5"/>
  <c r="H48" i="5"/>
  <c r="I26" i="5"/>
  <c r="H80" i="5"/>
  <c r="I80" i="5"/>
  <c r="H113" i="5"/>
  <c r="I28" i="5"/>
  <c r="I140" i="5"/>
  <c r="I64" i="5"/>
  <c r="H89" i="5"/>
  <c r="I68" i="5"/>
  <c r="H67" i="5"/>
  <c r="I44" i="5"/>
  <c r="H70" i="5"/>
  <c r="I60" i="5"/>
  <c r="H45" i="5"/>
  <c r="I115" i="5"/>
  <c r="I142" i="5"/>
  <c r="H111" i="5"/>
  <c r="H85" i="5"/>
  <c r="H81" i="5"/>
  <c r="H79" i="5"/>
  <c r="H62" i="5"/>
  <c r="I109" i="5"/>
  <c r="H76" i="5"/>
  <c r="I41" i="5"/>
  <c r="H21" i="5"/>
  <c r="I143" i="5"/>
  <c r="H108" i="5"/>
  <c r="I90" i="5"/>
  <c r="I91" i="5"/>
  <c r="I103" i="5"/>
  <c r="I113" i="5"/>
  <c r="I66" i="5"/>
  <c r="I59" i="5"/>
  <c r="H47" i="5"/>
  <c r="I89" i="5"/>
  <c r="I79" i="5"/>
  <c r="E9" i="3"/>
  <c r="E10" i="3"/>
  <c r="E11" i="3"/>
  <c r="E12" i="3"/>
  <c r="E13" i="3"/>
  <c r="I146" i="5"/>
  <c r="H110" i="5"/>
  <c r="I107" i="5"/>
  <c r="I111" i="5"/>
  <c r="I77" i="5"/>
  <c r="H25" i="5"/>
  <c r="I21" i="5"/>
  <c r="H20" i="5"/>
  <c r="I46" i="5"/>
  <c r="I23" i="5"/>
  <c r="I104" i="5"/>
  <c r="H92" i="5"/>
  <c r="H75" i="5"/>
  <c r="H88" i="5"/>
  <c r="I62" i="5"/>
  <c r="H61" i="5"/>
  <c r="H28" i="5"/>
  <c r="H24" i="5"/>
  <c r="H112" i="5"/>
  <c r="H114" i="5"/>
  <c r="I108" i="5"/>
  <c r="H86" i="5"/>
  <c r="H87" i="5"/>
  <c r="H78" i="5"/>
  <c r="H93" i="5"/>
  <c r="I70" i="5"/>
  <c r="I25" i="5"/>
  <c r="I19" i="5"/>
  <c r="I47" i="5"/>
  <c r="I42" i="5"/>
  <c r="H90" i="5"/>
  <c r="H44" i="5"/>
  <c r="I49" i="5"/>
  <c r="H22" i="5"/>
  <c r="H69" i="5"/>
  <c r="H27" i="5"/>
  <c r="I81" i="5"/>
  <c r="H65" i="5"/>
  <c r="H144" i="5"/>
  <c r="H139" i="5"/>
  <c r="I78" i="5"/>
  <c r="H60" i="5"/>
  <c r="H64" i="5"/>
  <c r="H43" i="5"/>
  <c r="H66" i="5"/>
  <c r="H26" i="5"/>
  <c r="H23" i="5"/>
  <c r="H19" i="5"/>
  <c r="H68" i="5"/>
  <c r="I76" i="5"/>
  <c r="I69" i="5"/>
  <c r="I45" i="5"/>
  <c r="I139" i="5"/>
  <c r="H145" i="5"/>
  <c r="I112" i="5"/>
  <c r="H109" i="5"/>
  <c r="I85" i="5"/>
  <c r="H77" i="5"/>
  <c r="I65" i="5"/>
  <c r="H59" i="5"/>
  <c r="I63" i="5"/>
  <c r="I43" i="5"/>
  <c r="I22" i="5"/>
  <c r="I24" i="5"/>
  <c r="D24" i="11"/>
  <c r="B24" i="11" s="1"/>
  <c r="F22" i="11"/>
  <c r="D20" i="11"/>
  <c r="B20" i="11" s="1"/>
  <c r="D28" i="11"/>
  <c r="B28" i="11" s="1"/>
  <c r="H28" i="11"/>
  <c r="F25" i="11"/>
  <c r="E46" i="5"/>
  <c r="F26" i="5"/>
  <c r="G20" i="5"/>
  <c r="D20" i="5"/>
  <c r="D19" i="16" s="1"/>
  <c r="G26" i="11"/>
  <c r="G24" i="5"/>
  <c r="G22" i="5"/>
  <c r="D19" i="5"/>
  <c r="E27" i="5"/>
  <c r="E20" i="11"/>
  <c r="L20" i="11" s="1"/>
  <c r="F26" i="11"/>
  <c r="D27" i="11"/>
  <c r="B27" i="11" s="1"/>
  <c r="D21" i="11"/>
  <c r="B21" i="11" s="1"/>
  <c r="E22" i="5"/>
  <c r="E24" i="5"/>
  <c r="C24" i="5"/>
  <c r="F27" i="11"/>
  <c r="E23" i="11"/>
  <c r="L23" i="11" s="1"/>
  <c r="F21" i="5"/>
  <c r="C22" i="5"/>
  <c r="D24" i="5"/>
  <c r="G23" i="5"/>
  <c r="C28" i="5"/>
  <c r="E26" i="11"/>
  <c r="L26" i="11" s="1"/>
  <c r="G48" i="5"/>
  <c r="E26" i="5"/>
  <c r="G26" i="5"/>
  <c r="G28" i="5"/>
  <c r="F24" i="5"/>
  <c r="G28" i="11"/>
  <c r="E28" i="11"/>
  <c r="L28" i="11" s="1"/>
  <c r="H22" i="11"/>
  <c r="H21" i="11"/>
  <c r="G27" i="11"/>
  <c r="D19" i="11"/>
  <c r="B19" i="11" s="1"/>
  <c r="E22" i="11"/>
  <c r="L22" i="11" s="1"/>
  <c r="H23" i="11"/>
  <c r="F25" i="5"/>
  <c r="F19" i="5"/>
  <c r="C19" i="5"/>
  <c r="F20" i="11"/>
  <c r="H25" i="11"/>
  <c r="G24" i="11"/>
  <c r="E21" i="11"/>
  <c r="L21" i="11" s="1"/>
  <c r="F27" i="5"/>
  <c r="G21" i="5"/>
  <c r="D25" i="5"/>
  <c r="D27" i="5"/>
  <c r="F20" i="5"/>
  <c r="G19" i="11"/>
  <c r="D22" i="11"/>
  <c r="B22" i="11" s="1"/>
  <c r="D23" i="5"/>
  <c r="D22" i="16" s="1"/>
  <c r="G22" i="11"/>
  <c r="H26" i="11"/>
  <c r="E19" i="11"/>
  <c r="L19" i="11" s="1"/>
  <c r="C26" i="5"/>
  <c r="G19" i="5"/>
  <c r="E23" i="5"/>
  <c r="P23" i="5" s="1"/>
  <c r="G23" i="11"/>
  <c r="E20" i="5"/>
  <c r="F28" i="11"/>
  <c r="E27" i="11"/>
  <c r="L27" i="11" s="1"/>
  <c r="H19" i="11"/>
  <c r="H20" i="11"/>
  <c r="F23" i="11"/>
  <c r="G41" i="5"/>
  <c r="C21" i="5"/>
  <c r="E21" i="5"/>
  <c r="C20" i="5"/>
  <c r="E28" i="5"/>
  <c r="P28" i="5" s="1"/>
  <c r="F23" i="5"/>
  <c r="F24" i="11"/>
  <c r="F69" i="5"/>
  <c r="F19" i="11"/>
  <c r="C23" i="5"/>
  <c r="C25" i="5"/>
  <c r="E25" i="5"/>
  <c r="P25" i="5" s="1"/>
  <c r="F22" i="5"/>
  <c r="G25" i="5"/>
  <c r="F21" i="11"/>
  <c r="D26" i="11"/>
  <c r="B26" i="11" s="1"/>
  <c r="H24" i="11"/>
  <c r="G21" i="11"/>
  <c r="D26" i="5"/>
  <c r="C27" i="5"/>
  <c r="E19" i="5"/>
  <c r="G27" i="5"/>
  <c r="G25" i="11"/>
  <c r="D22" i="5"/>
  <c r="D21" i="16" s="1"/>
  <c r="E44" i="5"/>
  <c r="P44" i="5" s="1"/>
  <c r="D45" i="5"/>
  <c r="D45" i="16" s="1"/>
  <c r="D48" i="5"/>
  <c r="D48" i="16" s="1"/>
  <c r="E43" i="5"/>
  <c r="P43" i="5" s="1"/>
  <c r="F45" i="5"/>
  <c r="C44" i="5"/>
  <c r="C45" i="5"/>
  <c r="D49" i="5"/>
  <c r="D49" i="16" s="1"/>
  <c r="F49" i="5"/>
  <c r="F61" i="5"/>
  <c r="D77" i="5"/>
  <c r="F48" i="5"/>
  <c r="G44" i="5"/>
  <c r="G42" i="5"/>
  <c r="D47" i="5"/>
  <c r="D47" i="16" s="1"/>
  <c r="C46" i="5"/>
  <c r="F42" i="5"/>
  <c r="G49" i="5"/>
  <c r="F41" i="5"/>
  <c r="G63" i="5"/>
  <c r="D46" i="5"/>
  <c r="F44" i="5"/>
  <c r="D44" i="5"/>
  <c r="D44" i="16" s="1"/>
  <c r="E66" i="5"/>
  <c r="P66" i="5" s="1"/>
  <c r="D43" i="5"/>
  <c r="G43" i="5"/>
  <c r="G46" i="5"/>
  <c r="F47" i="5"/>
  <c r="F46" i="5"/>
  <c r="C41" i="5"/>
  <c r="E48" i="5"/>
  <c r="P48" i="5" s="1"/>
  <c r="E45" i="5"/>
  <c r="Q45" i="5" s="1"/>
  <c r="G45" i="5"/>
  <c r="C42" i="5"/>
  <c r="G47" i="5"/>
  <c r="D41" i="5"/>
  <c r="C47" i="5"/>
  <c r="E49" i="5"/>
  <c r="C48" i="5"/>
  <c r="E47" i="5"/>
  <c r="P47" i="5" s="1"/>
  <c r="D42" i="5"/>
  <c r="E41" i="5"/>
  <c r="P41" i="5" s="1"/>
  <c r="F43" i="5"/>
  <c r="C49" i="5"/>
  <c r="E42" i="5"/>
  <c r="Q42" i="5" s="1"/>
  <c r="C43" i="5"/>
  <c r="C61" i="5"/>
  <c r="E64" i="5"/>
  <c r="Q64" i="5" s="1"/>
  <c r="C68" i="5"/>
  <c r="F64" i="5"/>
  <c r="G59" i="5"/>
  <c r="E60" i="5"/>
  <c r="E69" i="5"/>
  <c r="P69" i="5" s="1"/>
  <c r="C59" i="5"/>
  <c r="G65" i="5"/>
  <c r="D60" i="5"/>
  <c r="D62" i="16" s="1"/>
  <c r="D66" i="5"/>
  <c r="D68" i="16" s="1"/>
  <c r="C62" i="5"/>
  <c r="E63" i="5"/>
  <c r="F63" i="5"/>
  <c r="F62" i="5"/>
  <c r="E61" i="5"/>
  <c r="D70" i="5"/>
  <c r="D72" i="16" s="1"/>
  <c r="C65" i="5"/>
  <c r="D69" i="5"/>
  <c r="C67" i="5"/>
  <c r="E68" i="5"/>
  <c r="P68" i="5" s="1"/>
  <c r="D62" i="5"/>
  <c r="D64" i="16" s="1"/>
  <c r="D64" i="5"/>
  <c r="D66" i="16" s="1"/>
  <c r="C63" i="5"/>
  <c r="G61" i="5"/>
  <c r="E67" i="5"/>
  <c r="P67" i="5" s="1"/>
  <c r="C66" i="5"/>
  <c r="C64" i="5"/>
  <c r="F65" i="5"/>
  <c r="F76" i="5"/>
  <c r="G67" i="5"/>
  <c r="F59" i="5"/>
  <c r="C60" i="5"/>
  <c r="D67" i="5"/>
  <c r="D69" i="16" s="1"/>
  <c r="E70" i="5"/>
  <c r="F67" i="5"/>
  <c r="G60" i="5"/>
  <c r="F66" i="5"/>
  <c r="G70" i="5"/>
  <c r="G69" i="5"/>
  <c r="D63" i="5"/>
  <c r="D68" i="5"/>
  <c r="D70" i="16" s="1"/>
  <c r="E62" i="5"/>
  <c r="P62" i="5" s="1"/>
  <c r="D61" i="5"/>
  <c r="G66" i="5"/>
  <c r="F70" i="5"/>
  <c r="F60" i="5"/>
  <c r="G62" i="5"/>
  <c r="C69" i="5"/>
  <c r="C70" i="5"/>
  <c r="E59" i="5"/>
  <c r="G64" i="5"/>
  <c r="D65" i="5"/>
  <c r="E65" i="5"/>
  <c r="P65" i="5" s="1"/>
  <c r="G68" i="5"/>
  <c r="F68" i="5"/>
  <c r="D59" i="5"/>
  <c r="D61" i="16" s="1"/>
  <c r="K77" i="5"/>
  <c r="C81" i="5"/>
  <c r="A81" i="5" s="1"/>
  <c r="C79" i="5"/>
  <c r="A79" i="5" s="1"/>
  <c r="F81" i="5"/>
  <c r="F77" i="5"/>
  <c r="K20" i="5"/>
  <c r="D76" i="5"/>
  <c r="C76" i="5"/>
  <c r="A76" i="5" s="1"/>
  <c r="D90" i="5"/>
  <c r="K90" i="5" s="1"/>
  <c r="C80" i="5"/>
  <c r="A80" i="5" s="1"/>
  <c r="F92" i="5"/>
  <c r="C77" i="5"/>
  <c r="A77" i="5" s="1"/>
  <c r="E75" i="5"/>
  <c r="P75" i="5" s="1"/>
  <c r="D80" i="5"/>
  <c r="O80" i="5" s="1"/>
  <c r="G76" i="5"/>
  <c r="D91" i="5"/>
  <c r="K91" i="5" s="1"/>
  <c r="E78" i="5"/>
  <c r="Q78" i="5" s="1"/>
  <c r="F79" i="5"/>
  <c r="F91" i="5"/>
  <c r="D81" i="5"/>
  <c r="G77" i="5"/>
  <c r="C75" i="5"/>
  <c r="A75" i="5" s="1"/>
  <c r="F75" i="5"/>
  <c r="G80" i="5"/>
  <c r="D87" i="5"/>
  <c r="K87" i="5" s="1"/>
  <c r="F78" i="5"/>
  <c r="E76" i="5"/>
  <c r="F80" i="5"/>
  <c r="D78" i="5"/>
  <c r="D85" i="5"/>
  <c r="O85" i="5" s="1"/>
  <c r="D75" i="5"/>
  <c r="K75" i="5" s="1"/>
  <c r="G79" i="5"/>
  <c r="E80" i="5"/>
  <c r="C78" i="5"/>
  <c r="A78" i="5" s="1"/>
  <c r="D79" i="5"/>
  <c r="O79" i="5" s="1"/>
  <c r="G81" i="5"/>
  <c r="G78" i="5"/>
  <c r="G75" i="5"/>
  <c r="E79" i="5"/>
  <c r="Q79" i="5" s="1"/>
  <c r="E81" i="5"/>
  <c r="E77" i="5"/>
  <c r="C89" i="5"/>
  <c r="A89" i="5" s="1"/>
  <c r="C86" i="5"/>
  <c r="A86" i="5" s="1"/>
  <c r="O77" i="5"/>
  <c r="C87" i="5"/>
  <c r="A87" i="5" s="1"/>
  <c r="F89" i="5"/>
  <c r="E91" i="5"/>
  <c r="P91" i="5" s="1"/>
  <c r="E92" i="5"/>
  <c r="P92" i="5" s="1"/>
  <c r="D88" i="5"/>
  <c r="O88" i="5" s="1"/>
  <c r="C85" i="5"/>
  <c r="A85" i="5" s="1"/>
  <c r="F85" i="5"/>
  <c r="G93" i="5"/>
  <c r="C90" i="5"/>
  <c r="A90" i="5" s="1"/>
  <c r="E88" i="5"/>
  <c r="F88" i="5"/>
  <c r="C92" i="5"/>
  <c r="A92" i="5" s="1"/>
  <c r="F87" i="5"/>
  <c r="F90" i="5"/>
  <c r="D86" i="5"/>
  <c r="E85" i="5"/>
  <c r="P85" i="5" s="1"/>
  <c r="C88" i="5"/>
  <c r="A88" i="5" s="1"/>
  <c r="D89" i="5"/>
  <c r="G88" i="5"/>
  <c r="G90" i="5"/>
  <c r="E89" i="5"/>
  <c r="P89" i="5" s="1"/>
  <c r="E87" i="5"/>
  <c r="C104" i="5"/>
  <c r="A104" i="5" s="1"/>
  <c r="G89" i="5"/>
  <c r="F93" i="5"/>
  <c r="C91" i="5"/>
  <c r="A91" i="5" s="1"/>
  <c r="E90" i="5"/>
  <c r="P90" i="5" s="1"/>
  <c r="D104" i="5"/>
  <c r="K104" i="5" s="1"/>
  <c r="C93" i="5"/>
  <c r="A93" i="5" s="1"/>
  <c r="D92" i="5"/>
  <c r="G92" i="5"/>
  <c r="D93" i="5"/>
  <c r="G86" i="5"/>
  <c r="G85" i="5"/>
  <c r="E93" i="5"/>
  <c r="P93" i="5" s="1"/>
  <c r="E86" i="5"/>
  <c r="P86" i="5" s="1"/>
  <c r="G87" i="5"/>
  <c r="O45" i="5"/>
  <c r="S45" i="5" s="1"/>
  <c r="F45" i="16" s="1"/>
  <c r="G91" i="5"/>
  <c r="F86" i="5"/>
  <c r="E103" i="5"/>
  <c r="P103" i="5" s="1"/>
  <c r="K23" i="5"/>
  <c r="F103" i="5"/>
  <c r="G104" i="5"/>
  <c r="E104" i="5"/>
  <c r="Q104" i="5" s="1"/>
  <c r="G103" i="5"/>
  <c r="C103" i="5"/>
  <c r="A103" i="5" s="1"/>
  <c r="F104" i="5"/>
  <c r="D103" i="5"/>
  <c r="O103" i="5" s="1"/>
  <c r="O49" i="5"/>
  <c r="F146" i="5"/>
  <c r="K45" i="5"/>
  <c r="F110" i="5"/>
  <c r="G108" i="5"/>
  <c r="F115" i="5"/>
  <c r="D112" i="5"/>
  <c r="F113" i="5"/>
  <c r="G112" i="5"/>
  <c r="G114" i="5"/>
  <c r="D113" i="5"/>
  <c r="E113" i="5"/>
  <c r="E114" i="5"/>
  <c r="P114" i="5" s="1"/>
  <c r="D115" i="5"/>
  <c r="O115" i="5" s="1"/>
  <c r="F107" i="5"/>
  <c r="C115" i="5"/>
  <c r="A115" i="5" s="1"/>
  <c r="G110" i="5"/>
  <c r="E109" i="5"/>
  <c r="P109" i="5" s="1"/>
  <c r="D107" i="5"/>
  <c r="D111" i="5"/>
  <c r="K111" i="5" s="1"/>
  <c r="E112" i="5"/>
  <c r="P112" i="5" s="1"/>
  <c r="G115" i="5"/>
  <c r="C112" i="5"/>
  <c r="A112" i="5" s="1"/>
  <c r="D109" i="5"/>
  <c r="K109" i="5" s="1"/>
  <c r="C114" i="5"/>
  <c r="A114" i="5" s="1"/>
  <c r="F114" i="5"/>
  <c r="C108" i="5"/>
  <c r="A108" i="5" s="1"/>
  <c r="D114" i="5"/>
  <c r="K114" i="5" s="1"/>
  <c r="E107" i="5"/>
  <c r="P107" i="5" s="1"/>
  <c r="E115" i="5"/>
  <c r="Q115" i="5" s="1"/>
  <c r="G107" i="5"/>
  <c r="C110" i="5"/>
  <c r="A110" i="5" s="1"/>
  <c r="D110" i="5"/>
  <c r="E111" i="5"/>
  <c r="C109" i="5"/>
  <c r="A109" i="5" s="1"/>
  <c r="E108" i="5"/>
  <c r="G113" i="5"/>
  <c r="C113" i="5"/>
  <c r="A113" i="5" s="1"/>
  <c r="G109" i="5"/>
  <c r="F111" i="5"/>
  <c r="F108" i="5"/>
  <c r="C111" i="5"/>
  <c r="A111" i="5" s="1"/>
  <c r="D108" i="5"/>
  <c r="K108" i="5" s="1"/>
  <c r="O23" i="5"/>
  <c r="E110" i="5"/>
  <c r="Q110" i="5" s="1"/>
  <c r="F112" i="5"/>
  <c r="F109" i="5"/>
  <c r="G111" i="5"/>
  <c r="C107" i="5"/>
  <c r="A107" i="5" s="1"/>
  <c r="C143" i="5"/>
  <c r="A143" i="5" s="1"/>
  <c r="G145" i="5"/>
  <c r="D140" i="5"/>
  <c r="O140" i="5" s="1"/>
  <c r="D145" i="5"/>
  <c r="F142" i="5"/>
  <c r="F139" i="5"/>
  <c r="E142" i="5"/>
  <c r="P142" i="5" s="1"/>
  <c r="F144" i="5"/>
  <c r="E139" i="5"/>
  <c r="Q139" i="5" s="1"/>
  <c r="F141" i="5"/>
  <c r="P19" i="5"/>
  <c r="Q19" i="5"/>
  <c r="G141" i="5"/>
  <c r="C146" i="5"/>
  <c r="A146" i="5" s="1"/>
  <c r="G140" i="5"/>
  <c r="P81" i="5"/>
  <c r="D143" i="5"/>
  <c r="O143" i="5" s="1"/>
  <c r="G143" i="5"/>
  <c r="C140" i="5"/>
  <c r="A140" i="5" s="1"/>
  <c r="G139" i="5"/>
  <c r="E143" i="5"/>
  <c r="Q143" i="5" s="1"/>
  <c r="E145" i="5"/>
  <c r="P145" i="5" s="1"/>
  <c r="G146" i="5"/>
  <c r="D144" i="5"/>
  <c r="O144" i="5" s="1"/>
  <c r="O20" i="5"/>
  <c r="C145" i="5"/>
  <c r="A145" i="5" s="1"/>
  <c r="C142" i="5"/>
  <c r="A142" i="5" s="1"/>
  <c r="C144" i="5"/>
  <c r="A144" i="5" s="1"/>
  <c r="D139" i="5"/>
  <c r="O139" i="5" s="1"/>
  <c r="P24" i="5"/>
  <c r="Q24" i="5"/>
  <c r="D146" i="5"/>
  <c r="F140" i="5"/>
  <c r="E144" i="5"/>
  <c r="P144" i="5" s="1"/>
  <c r="C141" i="5"/>
  <c r="A141" i="5" s="1"/>
  <c r="F145" i="5"/>
  <c r="G142" i="5"/>
  <c r="D141" i="5"/>
  <c r="K141" i="5" s="1"/>
  <c r="E146" i="5"/>
  <c r="P146" i="5" s="1"/>
  <c r="G144" i="5"/>
  <c r="E140" i="5"/>
  <c r="D142" i="5"/>
  <c r="E141" i="5"/>
  <c r="P141" i="5" s="1"/>
  <c r="F143" i="5"/>
  <c r="C139" i="5"/>
  <c r="A139" i="5" s="1"/>
  <c r="O63" i="5"/>
  <c r="S63" i="5" s="1"/>
  <c r="F65" i="16" s="1"/>
  <c r="P21" i="5"/>
  <c r="Q21" i="5"/>
  <c r="K21" i="5"/>
  <c r="O21" i="5"/>
  <c r="S21" i="5" s="1"/>
  <c r="F20" i="16" s="1"/>
  <c r="O70" i="5"/>
  <c r="K28" i="5"/>
  <c r="O28" i="5"/>
  <c r="P26" i="5"/>
  <c r="Q26" i="5"/>
  <c r="O46" i="5"/>
  <c r="S46" i="5" s="1"/>
  <c r="F46" i="16" s="1"/>
  <c r="P46" i="5"/>
  <c r="Q46" i="5"/>
  <c r="K26" i="5"/>
  <c r="P22" i="5"/>
  <c r="Q22" i="5"/>
  <c r="O48" i="5"/>
  <c r="K48" i="5"/>
  <c r="K70" i="5"/>
  <c r="Q43" i="5"/>
  <c r="K47" i="5"/>
  <c r="O47" i="5"/>
  <c r="S47" i="5" s="1"/>
  <c r="F47" i="16" s="1"/>
  <c r="Q65" i="5"/>
  <c r="P63" i="5"/>
  <c r="Q63" i="5"/>
  <c r="P59" i="5"/>
  <c r="Q59" i="5"/>
  <c r="Q81" i="5"/>
  <c r="P61" i="5"/>
  <c r="Q61" i="5"/>
  <c r="P60" i="5"/>
  <c r="Q60" i="5"/>
  <c r="Q93" i="5"/>
  <c r="P79" i="5"/>
  <c r="P76" i="5"/>
  <c r="Q76" i="5"/>
  <c r="K85" i="5"/>
  <c r="F40" i="5"/>
  <c r="G107" i="11"/>
  <c r="H31" i="11"/>
  <c r="F104" i="11"/>
  <c r="H44" i="11"/>
  <c r="E29" i="11"/>
  <c r="L29" i="11" s="1"/>
  <c r="H102" i="11"/>
  <c r="D74" i="11"/>
  <c r="B74" i="11" s="1"/>
  <c r="H50" i="11"/>
  <c r="G113" i="11"/>
  <c r="E77" i="11"/>
  <c r="L77" i="11" s="1"/>
  <c r="G50" i="11"/>
  <c r="D38" i="11"/>
  <c r="B38" i="11" s="1"/>
  <c r="D106" i="11"/>
  <c r="B106" i="11" s="1"/>
  <c r="H90" i="11"/>
  <c r="H106" i="11"/>
  <c r="F46" i="11"/>
  <c r="G100" i="11"/>
  <c r="E32" i="11"/>
  <c r="L32" i="11" s="1"/>
  <c r="H119" i="11"/>
  <c r="H104" i="11"/>
  <c r="E44" i="11"/>
  <c r="L44" i="11" s="1"/>
  <c r="D80" i="11"/>
  <c r="B80" i="11" s="1"/>
  <c r="F44" i="11"/>
  <c r="H56" i="11"/>
  <c r="G128" i="11"/>
  <c r="H120" i="11"/>
  <c r="G119" i="11"/>
  <c r="G41" i="11"/>
  <c r="G77" i="11"/>
  <c r="D142" i="11"/>
  <c r="B142" i="11" s="1"/>
  <c r="E62" i="11"/>
  <c r="L62" i="11" s="1"/>
  <c r="G39" i="11"/>
  <c r="H39" i="11"/>
  <c r="E42" i="11"/>
  <c r="L42" i="11" s="1"/>
  <c r="G85" i="11"/>
  <c r="F145" i="11"/>
  <c r="D40" i="11"/>
  <c r="B40" i="11" s="1"/>
  <c r="D102" i="11"/>
  <c r="B102" i="11" s="1"/>
  <c r="E34" i="11"/>
  <c r="L34" i="11" s="1"/>
  <c r="H55" i="11"/>
  <c r="E117" i="11"/>
  <c r="L117" i="11" s="1"/>
  <c r="H40" i="11"/>
  <c r="E106" i="11"/>
  <c r="D39" i="11"/>
  <c r="B39" i="11" s="1"/>
  <c r="E109" i="11"/>
  <c r="L109" i="11" s="1"/>
  <c r="G139" i="11"/>
  <c r="F49" i="11"/>
  <c r="H43" i="11"/>
  <c r="G93" i="11"/>
  <c r="G115" i="11"/>
  <c r="F115" i="11"/>
  <c r="F67" i="11"/>
  <c r="F95" i="11"/>
  <c r="E129" i="11"/>
  <c r="L129" i="11" s="1"/>
  <c r="D130" i="11"/>
  <c r="B130" i="11" s="1"/>
  <c r="H79" i="11"/>
  <c r="D32" i="5"/>
  <c r="E35" i="11"/>
  <c r="K35" i="11" s="1"/>
  <c r="F129" i="11"/>
  <c r="D110" i="11"/>
  <c r="B110" i="11" s="1"/>
  <c r="G44" i="11"/>
  <c r="E86" i="11"/>
  <c r="L86" i="11" s="1"/>
  <c r="F50" i="11"/>
  <c r="H62" i="11"/>
  <c r="H135" i="11"/>
  <c r="H122" i="11"/>
  <c r="H126" i="11"/>
  <c r="E47" i="11"/>
  <c r="L47" i="11" s="1"/>
  <c r="E83" i="11"/>
  <c r="L83" i="11" s="1"/>
  <c r="H145" i="11"/>
  <c r="G62" i="11"/>
  <c r="D52" i="11"/>
  <c r="B52" i="11" s="1"/>
  <c r="D42" i="11"/>
  <c r="B42" i="11" s="1"/>
  <c r="D47" i="11"/>
  <c r="B47" i="11" s="1"/>
  <c r="H91" i="11"/>
  <c r="H70" i="11"/>
  <c r="H42" i="11"/>
  <c r="G112" i="11"/>
  <c r="E36" i="11"/>
  <c r="L36" i="11" s="1"/>
  <c r="F58" i="11"/>
  <c r="D124" i="11"/>
  <c r="B124" i="11" s="1"/>
  <c r="D43" i="11"/>
  <c r="B43" i="11" s="1"/>
  <c r="E124" i="11"/>
  <c r="L124" i="11" s="1"/>
  <c r="D41" i="11"/>
  <c r="B41" i="11" s="1"/>
  <c r="G111" i="11"/>
  <c r="G42" i="11"/>
  <c r="H54" i="11"/>
  <c r="H64" i="11"/>
  <c r="E39" i="11"/>
  <c r="K39" i="11" s="1"/>
  <c r="D139" i="11"/>
  <c r="B139" i="11" s="1"/>
  <c r="E73" i="11"/>
  <c r="L73" i="11" s="1"/>
  <c r="F100" i="11"/>
  <c r="D138" i="11"/>
  <c r="B138" i="11" s="1"/>
  <c r="E97" i="11"/>
  <c r="K97" i="11" s="1"/>
  <c r="D103" i="11"/>
  <c r="B103" i="11" s="1"/>
  <c r="D34" i="5"/>
  <c r="D34" i="16" s="1"/>
  <c r="D13" i="5"/>
  <c r="O13" i="5" s="1"/>
  <c r="E95" i="11"/>
  <c r="E38" i="11"/>
  <c r="L38" i="11" s="1"/>
  <c r="G138" i="11"/>
  <c r="F114" i="11"/>
  <c r="E56" i="11"/>
  <c r="L56" i="11" s="1"/>
  <c r="G86" i="11"/>
  <c r="F56" i="11"/>
  <c r="H68" i="11"/>
  <c r="H137" i="11"/>
  <c r="E126" i="11"/>
  <c r="L126" i="11" s="1"/>
  <c r="H143" i="11"/>
  <c r="G47" i="11"/>
  <c r="G83" i="11"/>
  <c r="H83" i="11"/>
  <c r="E68" i="11"/>
  <c r="L68" i="11" s="1"/>
  <c r="G57" i="11"/>
  <c r="E52" i="11"/>
  <c r="L52" i="11" s="1"/>
  <c r="H49" i="11"/>
  <c r="E94" i="11"/>
  <c r="K94" i="11" s="1"/>
  <c r="H52" i="11"/>
  <c r="G45" i="11"/>
  <c r="H114" i="11"/>
  <c r="F38" i="11"/>
  <c r="E66" i="11"/>
  <c r="L66" i="11" s="1"/>
  <c r="F146" i="11"/>
  <c r="G48" i="11"/>
  <c r="G146" i="11"/>
  <c r="E54" i="11"/>
  <c r="L54" i="11" s="1"/>
  <c r="H124" i="11"/>
  <c r="D46" i="11"/>
  <c r="B46" i="11" s="1"/>
  <c r="E64" i="11"/>
  <c r="L64" i="11" s="1"/>
  <c r="G78" i="11"/>
  <c r="D97" i="11"/>
  <c r="B97" i="11" s="1"/>
  <c r="E139" i="11"/>
  <c r="L139" i="11" s="1"/>
  <c r="E49" i="11"/>
  <c r="L49" i="11" s="1"/>
  <c r="D109" i="11"/>
  <c r="B109" i="11" s="1"/>
  <c r="H109" i="11"/>
  <c r="H113" i="11"/>
  <c r="H116" i="11"/>
  <c r="E10" i="5"/>
  <c r="P10" i="5" s="1"/>
  <c r="F111" i="11"/>
  <c r="H41" i="11"/>
  <c r="F140" i="11"/>
  <c r="G56" i="11"/>
  <c r="E99" i="11"/>
  <c r="F62" i="11"/>
  <c r="H74" i="11"/>
  <c r="D143" i="11"/>
  <c r="B143" i="11" s="1"/>
  <c r="F132" i="11"/>
  <c r="F92" i="11"/>
  <c r="E53" i="11"/>
  <c r="L53" i="11" s="1"/>
  <c r="F102" i="11"/>
  <c r="F93" i="11"/>
  <c r="G68" i="11"/>
  <c r="D70" i="11"/>
  <c r="B70" i="11" s="1"/>
  <c r="H57" i="11"/>
  <c r="F52" i="11"/>
  <c r="D96" i="11"/>
  <c r="B96" i="11" s="1"/>
  <c r="D58" i="11"/>
  <c r="B58" i="11" s="1"/>
  <c r="F128" i="11"/>
  <c r="E40" i="11"/>
  <c r="L40" i="11" s="1"/>
  <c r="G30" i="11"/>
  <c r="D69" i="11"/>
  <c r="B69" i="11" s="1"/>
  <c r="H146" i="11"/>
  <c r="E51" i="11"/>
  <c r="L51" i="11" s="1"/>
  <c r="F124" i="11"/>
  <c r="D57" i="11"/>
  <c r="B57" i="11" s="1"/>
  <c r="D49" i="11"/>
  <c r="B49" i="11" s="1"/>
  <c r="E67" i="11"/>
  <c r="L67" i="11" s="1"/>
  <c r="E82" i="11"/>
  <c r="H97" i="11"/>
  <c r="E79" i="11"/>
  <c r="L79" i="11" s="1"/>
  <c r="F121" i="11"/>
  <c r="G129" i="11"/>
  <c r="H130" i="11"/>
  <c r="D55" i="11"/>
  <c r="B55" i="11" s="1"/>
  <c r="G9" i="5"/>
  <c r="C32" i="5"/>
  <c r="G37" i="5"/>
  <c r="F137" i="11"/>
  <c r="F61" i="11"/>
  <c r="E118" i="11"/>
  <c r="L118" i="11" s="1"/>
  <c r="E141" i="11"/>
  <c r="L141" i="11" s="1"/>
  <c r="E72" i="5"/>
  <c r="F71" i="11"/>
  <c r="D94" i="5"/>
  <c r="G46" i="11"/>
  <c r="D92" i="11"/>
  <c r="B92" i="11" s="1"/>
  <c r="F78" i="11"/>
  <c r="G64" i="11"/>
  <c r="G135" i="11"/>
  <c r="G99" i="11"/>
  <c r="D119" i="5"/>
  <c r="K119" i="5" s="1"/>
  <c r="F84" i="5"/>
  <c r="F82" i="5"/>
  <c r="C125" i="5"/>
  <c r="A125" i="5" s="1"/>
  <c r="G138" i="5"/>
  <c r="G14" i="5"/>
  <c r="F138" i="5"/>
  <c r="C74" i="5"/>
  <c r="A74" i="5" s="1"/>
  <c r="C105" i="5"/>
  <c r="A105" i="5" s="1"/>
  <c r="C55" i="5"/>
  <c r="G83" i="5"/>
  <c r="D133" i="5"/>
  <c r="K133" i="5" s="1"/>
  <c r="F117" i="5"/>
  <c r="F126" i="5"/>
  <c r="G99" i="5"/>
  <c r="D100" i="5"/>
  <c r="N100" i="5" s="1"/>
  <c r="E102" i="5"/>
  <c r="R102" i="5" s="1"/>
  <c r="F96" i="5"/>
  <c r="C99" i="5"/>
  <c r="A99" i="5" s="1"/>
  <c r="C95" i="5"/>
  <c r="A95" i="5" s="1"/>
  <c r="F71" i="5"/>
  <c r="C82" i="5"/>
  <c r="A82" i="5" s="1"/>
  <c r="D33" i="5"/>
  <c r="D39" i="5"/>
  <c r="D11" i="5"/>
  <c r="O11" i="5" s="1"/>
  <c r="G52" i="5"/>
  <c r="F56" i="5"/>
  <c r="C54" i="5"/>
  <c r="C13" i="5"/>
  <c r="A13" i="5" s="1"/>
  <c r="F38" i="5"/>
  <c r="F14" i="5"/>
  <c r="C34" i="5"/>
  <c r="C10" i="5"/>
  <c r="A10" i="5" s="1"/>
  <c r="F130" i="11"/>
  <c r="D127" i="11"/>
  <c r="B127" i="11" s="1"/>
  <c r="D105" i="11"/>
  <c r="B105" i="11" s="1"/>
  <c r="H51" i="11"/>
  <c r="H82" i="11"/>
  <c r="D45" i="11"/>
  <c r="B45" i="11" s="1"/>
  <c r="E100" i="11"/>
  <c r="K100" i="11" s="1"/>
  <c r="G51" i="11"/>
  <c r="C126" i="5"/>
  <c r="A126" i="5" s="1"/>
  <c r="F119" i="11"/>
  <c r="F60" i="11"/>
  <c r="D131" i="11"/>
  <c r="B131" i="11" s="1"/>
  <c r="E82" i="5"/>
  <c r="G34" i="11"/>
  <c r="F57" i="11"/>
  <c r="F86" i="11"/>
  <c r="F66" i="11"/>
  <c r="E143" i="11"/>
  <c r="L143" i="11" s="1"/>
  <c r="F53" i="11"/>
  <c r="H89" i="11"/>
  <c r="F87" i="11"/>
  <c r="H69" i="11"/>
  <c r="D117" i="5"/>
  <c r="K117" i="5" s="1"/>
  <c r="E136" i="5"/>
  <c r="R136" i="5" s="1"/>
  <c r="D72" i="5"/>
  <c r="O72" i="5" s="1"/>
  <c r="F101" i="5"/>
  <c r="G38" i="5"/>
  <c r="F94" i="5"/>
  <c r="G57" i="5"/>
  <c r="C8" i="5"/>
  <c r="A8" i="5" s="1"/>
  <c r="F72" i="5"/>
  <c r="D129" i="5"/>
  <c r="O129" i="5" s="1"/>
  <c r="E84" i="5"/>
  <c r="Q84" i="5" s="1"/>
  <c r="C58" i="5"/>
  <c r="C121" i="5"/>
  <c r="A121" i="5" s="1"/>
  <c r="F99" i="5"/>
  <c r="C102" i="5"/>
  <c r="A102" i="5" s="1"/>
  <c r="G95" i="5"/>
  <c r="E98" i="5"/>
  <c r="R98" i="5" s="1"/>
  <c r="E94" i="5"/>
  <c r="R94" i="5" s="1"/>
  <c r="G133" i="5"/>
  <c r="E33" i="5"/>
  <c r="P33" i="5" s="1"/>
  <c r="E39" i="5"/>
  <c r="P39" i="5" s="1"/>
  <c r="E11" i="5"/>
  <c r="P11" i="5" s="1"/>
  <c r="E51" i="5"/>
  <c r="P51" i="5" s="1"/>
  <c r="F54" i="5"/>
  <c r="F127" i="11"/>
  <c r="H108" i="11"/>
  <c r="F48" i="11"/>
  <c r="G73" i="11"/>
  <c r="D127" i="5"/>
  <c r="F45" i="11"/>
  <c r="D55" i="5"/>
  <c r="D57" i="16" s="1"/>
  <c r="G55" i="11"/>
  <c r="E146" i="11"/>
  <c r="L146" i="11" s="1"/>
  <c r="F41" i="11"/>
  <c r="F65" i="11"/>
  <c r="F75" i="11"/>
  <c r="E132" i="5"/>
  <c r="H103" i="11"/>
  <c r="D138" i="5"/>
  <c r="H144" i="11"/>
  <c r="C53" i="5"/>
  <c r="D105" i="5"/>
  <c r="F136" i="5"/>
  <c r="D137" i="5"/>
  <c r="F95" i="5"/>
  <c r="G32" i="5"/>
  <c r="G55" i="5"/>
  <c r="G36" i="5"/>
  <c r="E128" i="5"/>
  <c r="S128" i="5" s="1"/>
  <c r="D122" i="5"/>
  <c r="K122" i="5" s="1"/>
  <c r="D71" i="5"/>
  <c r="K71" i="5" s="1"/>
  <c r="F58" i="5"/>
  <c r="F134" i="5"/>
  <c r="G120" i="5"/>
  <c r="F98" i="5"/>
  <c r="G102" i="5"/>
  <c r="C98" i="5"/>
  <c r="A98" i="5" s="1"/>
  <c r="D120" i="5"/>
  <c r="K120" i="5" s="1"/>
  <c r="E97" i="5"/>
  <c r="S97" i="5" s="1"/>
  <c r="C94" i="5"/>
  <c r="A94" i="5" s="1"/>
  <c r="F33" i="5"/>
  <c r="F39" i="5"/>
  <c r="F11" i="5"/>
  <c r="G50" i="5"/>
  <c r="C17" i="5"/>
  <c r="A17" i="5" s="1"/>
  <c r="F53" i="5"/>
  <c r="C50" i="5"/>
  <c r="E13" i="5"/>
  <c r="P13" i="5" s="1"/>
  <c r="F34" i="5"/>
  <c r="F10" i="5"/>
  <c r="E18" i="5"/>
  <c r="P18" i="5" s="1"/>
  <c r="C30" i="5"/>
  <c r="H84" i="11"/>
  <c r="D87" i="11"/>
  <c r="B87" i="11" s="1"/>
  <c r="G54" i="11"/>
  <c r="H129" i="11"/>
  <c r="E133" i="11"/>
  <c r="L133" i="11" s="1"/>
  <c r="H96" i="11"/>
  <c r="G12" i="5"/>
  <c r="F36" i="11"/>
  <c r="D128" i="11"/>
  <c r="B128" i="11" s="1"/>
  <c r="E116" i="5"/>
  <c r="F33" i="11"/>
  <c r="G43" i="11"/>
  <c r="D101" i="11"/>
  <c r="B101" i="11" s="1"/>
  <c r="G29" i="11"/>
  <c r="F54" i="11"/>
  <c r="F63" i="11"/>
  <c r="D54" i="5"/>
  <c r="D56" i="16" s="1"/>
  <c r="G56" i="5"/>
  <c r="H85" i="11"/>
  <c r="D73" i="11"/>
  <c r="B73" i="11" s="1"/>
  <c r="D118" i="11"/>
  <c r="B118" i="11" s="1"/>
  <c r="G34" i="5"/>
  <c r="C51" i="5"/>
  <c r="G137" i="5"/>
  <c r="D135" i="5"/>
  <c r="K135" i="5" s="1"/>
  <c r="G40" i="5"/>
  <c r="C130" i="5"/>
  <c r="A130" i="5" s="1"/>
  <c r="G131" i="5"/>
  <c r="C133" i="5"/>
  <c r="A133" i="5" s="1"/>
  <c r="E71" i="5"/>
  <c r="P71" i="5" s="1"/>
  <c r="E58" i="5"/>
  <c r="P58" i="5" s="1"/>
  <c r="C117" i="5"/>
  <c r="A117" i="5" s="1"/>
  <c r="D73" i="5"/>
  <c r="K73" i="5" s="1"/>
  <c r="D134" i="5"/>
  <c r="K134" i="5" s="1"/>
  <c r="G98" i="5"/>
  <c r="G97" i="5"/>
  <c r="G94" i="5"/>
  <c r="G129" i="5"/>
  <c r="E131" i="5"/>
  <c r="S131" i="5" s="1"/>
  <c r="F106" i="5"/>
  <c r="G33" i="5"/>
  <c r="G39" i="5"/>
  <c r="G11" i="5"/>
  <c r="D17" i="5"/>
  <c r="G53" i="5"/>
  <c r="F50" i="5"/>
  <c r="F13" i="5"/>
  <c r="F32" i="5"/>
  <c r="E16" i="5"/>
  <c r="P16" i="5" s="1"/>
  <c r="G10" i="5"/>
  <c r="F84" i="11"/>
  <c r="G38" i="11"/>
  <c r="E129" i="5"/>
  <c r="G118" i="11"/>
  <c r="G73" i="5"/>
  <c r="F105" i="5"/>
  <c r="D126" i="11"/>
  <c r="B126" i="11" s="1"/>
  <c r="H132" i="11"/>
  <c r="G31" i="11"/>
  <c r="F77" i="11"/>
  <c r="G123" i="5"/>
  <c r="F30" i="11"/>
  <c r="G52" i="11"/>
  <c r="E57" i="11"/>
  <c r="L57" i="11" s="1"/>
  <c r="D82" i="11"/>
  <c r="B82" i="11" s="1"/>
  <c r="C119" i="5"/>
  <c r="A119" i="5" s="1"/>
  <c r="E55" i="11"/>
  <c r="L55" i="11" s="1"/>
  <c r="H88" i="11"/>
  <c r="G16" i="5"/>
  <c r="F124" i="5"/>
  <c r="E124" i="5"/>
  <c r="S124" i="5" s="1"/>
  <c r="C131" i="5"/>
  <c r="A131" i="5" s="1"/>
  <c r="C71" i="5"/>
  <c r="A71" i="5" s="1"/>
  <c r="G58" i="5"/>
  <c r="F102" i="5"/>
  <c r="G116" i="5"/>
  <c r="E73" i="5"/>
  <c r="Q73" i="5" s="1"/>
  <c r="D132" i="5"/>
  <c r="K132" i="5" s="1"/>
  <c r="C96" i="5"/>
  <c r="A96" i="5" s="1"/>
  <c r="G127" i="5"/>
  <c r="E127" i="5"/>
  <c r="S127" i="5" s="1"/>
  <c r="D84" i="5"/>
  <c r="O84" i="5" s="1"/>
  <c r="C29" i="5"/>
  <c r="A29" i="5" s="1"/>
  <c r="E17" i="5"/>
  <c r="G13" i="5"/>
  <c r="F30" i="5"/>
  <c r="E38" i="5"/>
  <c r="P38" i="5" s="1"/>
  <c r="E14" i="5"/>
  <c r="Q14" i="5" s="1"/>
  <c r="F72" i="11"/>
  <c r="G82" i="11"/>
  <c r="E138" i="11"/>
  <c r="L138" i="11" s="1"/>
  <c r="G79" i="11"/>
  <c r="G125" i="5"/>
  <c r="F42" i="11"/>
  <c r="G8" i="5"/>
  <c r="G40" i="11"/>
  <c r="E119" i="5"/>
  <c r="C132" i="5"/>
  <c r="A132" i="5" s="1"/>
  <c r="D146" i="11"/>
  <c r="B146" i="11" s="1"/>
  <c r="E130" i="5"/>
  <c r="S130" i="5" s="1"/>
  <c r="C120" i="5"/>
  <c r="A120" i="5" s="1"/>
  <c r="C72" i="5"/>
  <c r="A72" i="5" s="1"/>
  <c r="G96" i="5"/>
  <c r="G30" i="5"/>
  <c r="C128" i="5"/>
  <c r="A128" i="5" s="1"/>
  <c r="C73" i="5"/>
  <c r="A73" i="5" s="1"/>
  <c r="C101" i="5"/>
  <c r="A101" i="5" s="1"/>
  <c r="F8" i="5"/>
  <c r="E8" i="5"/>
  <c r="P8" i="5" s="1"/>
  <c r="E121" i="5"/>
  <c r="S121" i="5" s="1"/>
  <c r="D121" i="5"/>
  <c r="O121" i="5" s="1"/>
  <c r="F133" i="5"/>
  <c r="C129" i="5"/>
  <c r="A129" i="5" s="1"/>
  <c r="G100" i="5"/>
  <c r="F132" i="5"/>
  <c r="D130" i="5"/>
  <c r="O130" i="5" s="1"/>
  <c r="D116" i="5"/>
  <c r="O116" i="5" s="1"/>
  <c r="G122" i="5"/>
  <c r="D125" i="5"/>
  <c r="O125" i="5" s="1"/>
  <c r="E83" i="5"/>
  <c r="Q83" i="5" s="1"/>
  <c r="D29" i="5"/>
  <c r="K29" i="5" s="1"/>
  <c r="C15" i="5"/>
  <c r="A15" i="5" s="1"/>
  <c r="C35" i="5"/>
  <c r="F17" i="5"/>
  <c r="E36" i="5"/>
  <c r="Q36" i="5" s="1"/>
  <c r="E12" i="5"/>
  <c r="P12" i="5" s="1"/>
  <c r="D18" i="5"/>
  <c r="H127" i="11"/>
  <c r="D98" i="5"/>
  <c r="G61" i="11"/>
  <c r="D95" i="5"/>
  <c r="G70" i="11"/>
  <c r="G117" i="11"/>
  <c r="G67" i="11"/>
  <c r="E50" i="5"/>
  <c r="E100" i="5"/>
  <c r="E133" i="5"/>
  <c r="D57" i="5"/>
  <c r="F125" i="5"/>
  <c r="G136" i="5"/>
  <c r="G135" i="5"/>
  <c r="D124" i="5"/>
  <c r="K124" i="5" s="1"/>
  <c r="E134" i="5"/>
  <c r="C97" i="5"/>
  <c r="A97" i="5" s="1"/>
  <c r="G132" i="5"/>
  <c r="F119" i="5"/>
  <c r="F131" i="5"/>
  <c r="C127" i="5"/>
  <c r="A127" i="5" s="1"/>
  <c r="D58" i="5"/>
  <c r="D128" i="5"/>
  <c r="K128" i="5" s="1"/>
  <c r="F122" i="5"/>
  <c r="E122" i="5"/>
  <c r="R122" i="5" s="1"/>
  <c r="E29" i="5"/>
  <c r="P29" i="5" s="1"/>
  <c r="D15" i="5"/>
  <c r="K15" i="5" s="1"/>
  <c r="D35" i="5"/>
  <c r="G17" i="5"/>
  <c r="H98" i="11"/>
  <c r="G49" i="11"/>
  <c r="C137" i="5"/>
  <c r="A137" i="5" s="1"/>
  <c r="D83" i="5"/>
  <c r="F59" i="11"/>
  <c r="E105" i="11"/>
  <c r="D56" i="11"/>
  <c r="B56" i="11" s="1"/>
  <c r="D131" i="5"/>
  <c r="D102" i="5"/>
  <c r="E132" i="11"/>
  <c r="L132" i="11" s="1"/>
  <c r="E56" i="5"/>
  <c r="P56" i="5" s="1"/>
  <c r="C123" i="5"/>
  <c r="A123" i="5" s="1"/>
  <c r="E117" i="5"/>
  <c r="S117" i="5" s="1"/>
  <c r="G130" i="5"/>
  <c r="F74" i="5"/>
  <c r="C116" i="5"/>
  <c r="A116" i="5" s="1"/>
  <c r="G124" i="5"/>
  <c r="F130" i="5"/>
  <c r="D126" i="5"/>
  <c r="O126" i="5" s="1"/>
  <c r="G106" i="5"/>
  <c r="E118" i="5"/>
  <c r="S118" i="5" s="1"/>
  <c r="C83" i="5"/>
  <c r="A83" i="5" s="1"/>
  <c r="F29" i="5"/>
  <c r="C40" i="5"/>
  <c r="E15" i="5"/>
  <c r="P15" i="5" s="1"/>
  <c r="E35" i="5"/>
  <c r="P35" i="5" s="1"/>
  <c r="F57" i="5"/>
  <c r="C31" i="5"/>
  <c r="C52" i="5"/>
  <c r="D37" i="5"/>
  <c r="E32" i="5"/>
  <c r="P32" i="5" s="1"/>
  <c r="D38" i="5"/>
  <c r="D14" i="5"/>
  <c r="O14" i="5" s="1"/>
  <c r="G114" i="11"/>
  <c r="H136" i="11"/>
  <c r="F64" i="11"/>
  <c r="G69" i="11"/>
  <c r="F82" i="11"/>
  <c r="F85" i="11"/>
  <c r="H93" i="11"/>
  <c r="D48" i="11"/>
  <c r="B48" i="11" s="1"/>
  <c r="F94" i="11"/>
  <c r="H131" i="11"/>
  <c r="E37" i="11"/>
  <c r="K37" i="11" s="1"/>
  <c r="F51" i="11"/>
  <c r="G37" i="11"/>
  <c r="H140" i="11"/>
  <c r="F47" i="11"/>
  <c r="E93" i="11"/>
  <c r="L93" i="11" s="1"/>
  <c r="C57" i="5"/>
  <c r="D44" i="11"/>
  <c r="B44" i="11" s="1"/>
  <c r="F125" i="11"/>
  <c r="D53" i="5"/>
  <c r="D55" i="16" s="1"/>
  <c r="D99" i="5"/>
  <c r="G126" i="5"/>
  <c r="E144" i="11"/>
  <c r="L144" i="11" s="1"/>
  <c r="G84" i="5"/>
  <c r="F73" i="5"/>
  <c r="E123" i="5"/>
  <c r="S123" i="5" s="1"/>
  <c r="D82" i="5"/>
  <c r="N82" i="5" s="1"/>
  <c r="E138" i="5"/>
  <c r="R138" i="5" s="1"/>
  <c r="C138" i="5"/>
  <c r="A138" i="5" s="1"/>
  <c r="E125" i="5"/>
  <c r="S125" i="5" s="1"/>
  <c r="G72" i="5"/>
  <c r="F129" i="5"/>
  <c r="D106" i="5"/>
  <c r="N106" i="5" s="1"/>
  <c r="E105" i="5"/>
  <c r="R105" i="5" s="1"/>
  <c r="F123" i="5"/>
  <c r="E74" i="5"/>
  <c r="P74" i="5" s="1"/>
  <c r="F118" i="5"/>
  <c r="G29" i="5"/>
  <c r="D40" i="5"/>
  <c r="F15" i="5"/>
  <c r="F35" i="5"/>
  <c r="D31" i="5"/>
  <c r="F55" i="5"/>
  <c r="F52" i="5"/>
  <c r="E37" i="5"/>
  <c r="P37" i="5" s="1"/>
  <c r="E30" i="5"/>
  <c r="Q30" i="5" s="1"/>
  <c r="D36" i="5"/>
  <c r="D12" i="5"/>
  <c r="K12" i="5" s="1"/>
  <c r="C18" i="5"/>
  <c r="F9" i="5"/>
  <c r="E127" i="11"/>
  <c r="L127" i="11" s="1"/>
  <c r="G127" i="11"/>
  <c r="F134" i="11"/>
  <c r="F29" i="11"/>
  <c r="D133" i="11"/>
  <c r="B133" i="11" s="1"/>
  <c r="E46" i="11"/>
  <c r="L46" i="11" s="1"/>
  <c r="G136" i="11"/>
  <c r="H87" i="11"/>
  <c r="E31" i="11"/>
  <c r="K31" i="11" s="1"/>
  <c r="G121" i="5"/>
  <c r="G119" i="5"/>
  <c r="D129" i="11"/>
  <c r="B129" i="11" s="1"/>
  <c r="C135" i="5"/>
  <c r="A135" i="5" s="1"/>
  <c r="G35" i="11"/>
  <c r="F81" i="11"/>
  <c r="E120" i="5"/>
  <c r="D56" i="5"/>
  <c r="D58" i="16" s="1"/>
  <c r="G32" i="11"/>
  <c r="D114" i="11"/>
  <c r="B114" i="11" s="1"/>
  <c r="H134" i="11"/>
  <c r="D144" i="11"/>
  <c r="B144" i="11" s="1"/>
  <c r="D50" i="5"/>
  <c r="D52" i="16" s="1"/>
  <c r="D108" i="11"/>
  <c r="B108" i="11" s="1"/>
  <c r="D72" i="11"/>
  <c r="B72" i="11" s="1"/>
  <c r="H125" i="11"/>
  <c r="E135" i="5"/>
  <c r="C124" i="5"/>
  <c r="A124" i="5" s="1"/>
  <c r="D136" i="5"/>
  <c r="K136" i="5" s="1"/>
  <c r="C136" i="5"/>
  <c r="A136" i="5" s="1"/>
  <c r="F137" i="5"/>
  <c r="F120" i="5"/>
  <c r="G74" i="5"/>
  <c r="D8" i="5"/>
  <c r="K8" i="5" s="1"/>
  <c r="D96" i="5"/>
  <c r="J96" i="5" s="1"/>
  <c r="C122" i="5"/>
  <c r="A122" i="5" s="1"/>
  <c r="F128" i="5"/>
  <c r="G105" i="5"/>
  <c r="E101" i="5"/>
  <c r="S101" i="5" s="1"/>
  <c r="G71" i="5"/>
  <c r="E40" i="5"/>
  <c r="Q40" i="5" s="1"/>
  <c r="G15" i="5"/>
  <c r="G35" i="5"/>
  <c r="E55" i="5"/>
  <c r="P55" i="5" s="1"/>
  <c r="E31" i="5"/>
  <c r="P31" i="5" s="1"/>
  <c r="F51" i="5"/>
  <c r="F37" i="5"/>
  <c r="D120" i="11"/>
  <c r="B120" i="11" s="1"/>
  <c r="E96" i="5"/>
  <c r="D107" i="11"/>
  <c r="B107" i="11" s="1"/>
  <c r="F110" i="11"/>
  <c r="G117" i="5"/>
  <c r="F69" i="11"/>
  <c r="F116" i="11"/>
  <c r="E126" i="5"/>
  <c r="E102" i="11"/>
  <c r="E54" i="5"/>
  <c r="D123" i="11"/>
  <c r="B123" i="11" s="1"/>
  <c r="E52" i="5"/>
  <c r="F122" i="11"/>
  <c r="D51" i="5"/>
  <c r="D53" i="16" s="1"/>
  <c r="D88" i="11"/>
  <c r="B88" i="11" s="1"/>
  <c r="F73" i="11"/>
  <c r="C134" i="5"/>
  <c r="A134" i="5" s="1"/>
  <c r="E137" i="5"/>
  <c r="S137" i="5" s="1"/>
  <c r="G18" i="5"/>
  <c r="D101" i="5"/>
  <c r="N101" i="5" s="1"/>
  <c r="G128" i="5"/>
  <c r="F127" i="5"/>
  <c r="F121" i="5"/>
  <c r="D97" i="5"/>
  <c r="C84" i="5"/>
  <c r="A84" i="5" s="1"/>
  <c r="F83" i="11"/>
  <c r="F39" i="11"/>
  <c r="C106" i="5"/>
  <c r="A106" i="5" s="1"/>
  <c r="G58" i="11"/>
  <c r="D104" i="11"/>
  <c r="B104" i="11" s="1"/>
  <c r="C9" i="5"/>
  <c r="A9" i="5" s="1"/>
  <c r="F90" i="11"/>
  <c r="G76" i="11"/>
  <c r="D74" i="5"/>
  <c r="D111" i="11"/>
  <c r="B111" i="11" s="1"/>
  <c r="D52" i="5"/>
  <c r="F55" i="11"/>
  <c r="D123" i="5"/>
  <c r="K123" i="5" s="1"/>
  <c r="G134" i="5"/>
  <c r="F135" i="5"/>
  <c r="F83" i="5"/>
  <c r="F97" i="5"/>
  <c r="E57" i="5"/>
  <c r="Q57" i="5" s="1"/>
  <c r="F116" i="5"/>
  <c r="C118" i="5"/>
  <c r="A118" i="5" s="1"/>
  <c r="F100" i="5"/>
  <c r="C100" i="5"/>
  <c r="A100" i="5" s="1"/>
  <c r="E99" i="5"/>
  <c r="R99" i="5" s="1"/>
  <c r="D118" i="5"/>
  <c r="K118" i="5" s="1"/>
  <c r="E95" i="5"/>
  <c r="S95" i="5" s="1"/>
  <c r="G118" i="5"/>
  <c r="E106" i="5"/>
  <c r="S106" i="5" s="1"/>
  <c r="G82" i="5"/>
  <c r="C33" i="5"/>
  <c r="C39" i="5"/>
  <c r="C11" i="5"/>
  <c r="A11" i="5" s="1"/>
  <c r="E53" i="5"/>
  <c r="Q53" i="5" s="1"/>
  <c r="C56" i="5"/>
  <c r="G31" i="5"/>
  <c r="F16" i="5"/>
  <c r="D30" i="5"/>
  <c r="C36" i="5"/>
  <c r="E142" i="11"/>
  <c r="L142" i="11" s="1"/>
  <c r="E101" i="11"/>
  <c r="K101" i="11" s="1"/>
  <c r="F68" i="11"/>
  <c r="H80" i="11"/>
  <c r="F138" i="11"/>
  <c r="G141" i="11"/>
  <c r="E98" i="11"/>
  <c r="K98" i="11" s="1"/>
  <c r="G53" i="11"/>
  <c r="E104" i="11"/>
  <c r="L104" i="11" s="1"/>
  <c r="G102" i="11"/>
  <c r="E74" i="11"/>
  <c r="L74" i="11" s="1"/>
  <c r="G75" i="11"/>
  <c r="D60" i="11"/>
  <c r="B60" i="11" s="1"/>
  <c r="E60" i="11"/>
  <c r="L60" i="11" s="1"/>
  <c r="D98" i="11"/>
  <c r="B98" i="11" s="1"/>
  <c r="H60" i="11"/>
  <c r="G130" i="11"/>
  <c r="E58" i="11"/>
  <c r="L58" i="11" s="1"/>
  <c r="H32" i="11"/>
  <c r="D71" i="11"/>
  <c r="B71" i="11" s="1"/>
  <c r="G124" i="11"/>
  <c r="H58" i="11"/>
  <c r="F106" i="11"/>
  <c r="D59" i="11"/>
  <c r="B59" i="11" s="1"/>
  <c r="D54" i="11"/>
  <c r="B54" i="11" s="1"/>
  <c r="G72" i="11"/>
  <c r="E85" i="11"/>
  <c r="L85" i="11" s="1"/>
  <c r="G60" i="11"/>
  <c r="F79" i="11"/>
  <c r="E63" i="11"/>
  <c r="L63" i="11" s="1"/>
  <c r="F133" i="11"/>
  <c r="F103" i="11"/>
  <c r="C38" i="5"/>
  <c r="C37" i="5"/>
  <c r="H77" i="11"/>
  <c r="G123" i="11"/>
  <c r="H47" i="11"/>
  <c r="E131" i="11"/>
  <c r="L131" i="11" s="1"/>
  <c r="F105" i="11"/>
  <c r="F144" i="11"/>
  <c r="G131" i="11"/>
  <c r="E122" i="11"/>
  <c r="L122" i="11" s="1"/>
  <c r="F74" i="11"/>
  <c r="E92" i="11"/>
  <c r="L92" i="11" s="1"/>
  <c r="F123" i="11"/>
  <c r="F143" i="11"/>
  <c r="G98" i="11"/>
  <c r="E59" i="11"/>
  <c r="L59" i="11" s="1"/>
  <c r="G104" i="11"/>
  <c r="E110" i="11"/>
  <c r="L110" i="11" s="1"/>
  <c r="G74" i="11"/>
  <c r="F91" i="11"/>
  <c r="E70" i="11"/>
  <c r="L70" i="11" s="1"/>
  <c r="D63" i="11"/>
  <c r="B63" i="11" s="1"/>
  <c r="E112" i="11"/>
  <c r="L112" i="11" s="1"/>
  <c r="G63" i="11"/>
  <c r="G132" i="11"/>
  <c r="H63" i="11"/>
  <c r="F34" i="11"/>
  <c r="H73" i="11"/>
  <c r="D61" i="11"/>
  <c r="B61" i="11" s="1"/>
  <c r="E72" i="11"/>
  <c r="L72" i="11" s="1"/>
  <c r="G33" i="11"/>
  <c r="E81" i="11"/>
  <c r="L81" i="11" s="1"/>
  <c r="H92" i="11"/>
  <c r="E88" i="11"/>
  <c r="L88" i="11" s="1"/>
  <c r="E33" i="11"/>
  <c r="K33" i="11" s="1"/>
  <c r="H111" i="11"/>
  <c r="D84" i="11"/>
  <c r="B84" i="11" s="1"/>
  <c r="H81" i="11"/>
  <c r="F35" i="11"/>
  <c r="E75" i="11"/>
  <c r="L75" i="11" s="1"/>
  <c r="H72" i="11"/>
  <c r="G121" i="11"/>
  <c r="D10" i="5"/>
  <c r="O10" i="5" s="1"/>
  <c r="F36" i="5"/>
  <c r="G101" i="5"/>
  <c r="H53" i="11"/>
  <c r="G101" i="11"/>
  <c r="H59" i="11"/>
  <c r="E140" i="11"/>
  <c r="L140" i="11" s="1"/>
  <c r="H138" i="11"/>
  <c r="F120" i="11"/>
  <c r="G122" i="11"/>
  <c r="F80" i="11"/>
  <c r="G92" i="11"/>
  <c r="H86" i="11"/>
  <c r="D145" i="11"/>
  <c r="B145" i="11" s="1"/>
  <c r="H105" i="11"/>
  <c r="G59" i="11"/>
  <c r="E89" i="11"/>
  <c r="L89" i="11" s="1"/>
  <c r="G110" i="11"/>
  <c r="E80" i="11"/>
  <c r="L80" i="11" s="1"/>
  <c r="H75" i="11"/>
  <c r="D65" i="11"/>
  <c r="B65" i="11" s="1"/>
  <c r="E114" i="11"/>
  <c r="L114" i="11" s="1"/>
  <c r="D76" i="11"/>
  <c r="B76" i="11" s="1"/>
  <c r="H128" i="11"/>
  <c r="E76" i="11"/>
  <c r="L76" i="11" s="1"/>
  <c r="G36" i="11"/>
  <c r="F76" i="11"/>
  <c r="G66" i="11"/>
  <c r="D75" i="11"/>
  <c r="B75" i="11" s="1"/>
  <c r="H45" i="11"/>
  <c r="E91" i="11"/>
  <c r="L91" i="11" s="1"/>
  <c r="F98" i="11"/>
  <c r="D99" i="11"/>
  <c r="B99" i="11" s="1"/>
  <c r="E45" i="11"/>
  <c r="L45" i="11" s="1"/>
  <c r="D115" i="11"/>
  <c r="B115" i="11" s="1"/>
  <c r="G103" i="11"/>
  <c r="D85" i="11"/>
  <c r="B85" i="11" s="1"/>
  <c r="E61" i="11"/>
  <c r="L61" i="11" s="1"/>
  <c r="H95" i="11"/>
  <c r="F112" i="11"/>
  <c r="D136" i="11"/>
  <c r="B136" i="11" s="1"/>
  <c r="D16" i="5"/>
  <c r="K16" i="5" s="1"/>
  <c r="H65" i="11"/>
  <c r="G140" i="11"/>
  <c r="F142" i="11"/>
  <c r="H142" i="11"/>
  <c r="E135" i="11"/>
  <c r="L135" i="11" s="1"/>
  <c r="F101" i="11"/>
  <c r="H99" i="11"/>
  <c r="F96" i="11"/>
  <c r="F117" i="11"/>
  <c r="H107" i="11"/>
  <c r="E65" i="11"/>
  <c r="L65" i="11" s="1"/>
  <c r="G89" i="11"/>
  <c r="E123" i="11"/>
  <c r="L123" i="11" s="1"/>
  <c r="G80" i="11"/>
  <c r="D78" i="11"/>
  <c r="B78" i="11" s="1"/>
  <c r="H67" i="11"/>
  <c r="D116" i="11"/>
  <c r="B116" i="11" s="1"/>
  <c r="D30" i="11"/>
  <c r="B30" i="11" s="1"/>
  <c r="H78" i="11"/>
  <c r="E90" i="11"/>
  <c r="L90" i="11" s="1"/>
  <c r="H38" i="11"/>
  <c r="E84" i="11"/>
  <c r="L84" i="11" s="1"/>
  <c r="E69" i="11"/>
  <c r="L69" i="11" s="1"/>
  <c r="D29" i="11"/>
  <c r="B29" i="11" s="1"/>
  <c r="D77" i="11"/>
  <c r="B77" i="11" s="1"/>
  <c r="H66" i="11"/>
  <c r="H139" i="11"/>
  <c r="G106" i="11"/>
  <c r="E103" i="11"/>
  <c r="L103" i="11" s="1"/>
  <c r="H48" i="11"/>
  <c r="G108" i="11"/>
  <c r="F88" i="11"/>
  <c r="H112" i="11"/>
  <c r="E108" i="11"/>
  <c r="L108" i="11" s="1"/>
  <c r="D117" i="11"/>
  <c r="B117" i="11" s="1"/>
  <c r="D67" i="11"/>
  <c r="B67" i="11" s="1"/>
  <c r="C12" i="5"/>
  <c r="A12" i="5" s="1"/>
  <c r="H71" i="11"/>
  <c r="D93" i="11"/>
  <c r="B93" i="11" s="1"/>
  <c r="E116" i="11"/>
  <c r="L116" i="11" s="1"/>
  <c r="D50" i="11"/>
  <c r="B50" i="11" s="1"/>
  <c r="D137" i="11"/>
  <c r="B137" i="11" s="1"/>
  <c r="E107" i="11"/>
  <c r="L107" i="11" s="1"/>
  <c r="H101" i="11"/>
  <c r="G105" i="11"/>
  <c r="G126" i="11"/>
  <c r="E134" i="11"/>
  <c r="L134" i="11" s="1"/>
  <c r="G65" i="11"/>
  <c r="F108" i="11"/>
  <c r="F99" i="11"/>
  <c r="E137" i="11"/>
  <c r="L137" i="11" s="1"/>
  <c r="G91" i="11"/>
  <c r="F70" i="11"/>
  <c r="D122" i="11"/>
  <c r="B122" i="11" s="1"/>
  <c r="D32" i="11"/>
  <c r="B32" i="11" s="1"/>
  <c r="G81" i="11"/>
  <c r="H94" i="11"/>
  <c r="F40" i="11"/>
  <c r="D86" i="11"/>
  <c r="B86" i="11" s="1"/>
  <c r="H76" i="11"/>
  <c r="D31" i="11"/>
  <c r="B31" i="11" s="1"/>
  <c r="E87" i="11"/>
  <c r="L87" i="11" s="1"/>
  <c r="G97" i="11"/>
  <c r="F43" i="11"/>
  <c r="E111" i="11"/>
  <c r="L111" i="11" s="1"/>
  <c r="D66" i="11"/>
  <c r="B66" i="11" s="1"/>
  <c r="E96" i="11"/>
  <c r="D119" i="11"/>
  <c r="B119" i="11" s="1"/>
  <c r="D95" i="11"/>
  <c r="B95" i="11" s="1"/>
  <c r="D113" i="11"/>
  <c r="B113" i="11" s="1"/>
  <c r="H118" i="11"/>
  <c r="H121" i="11"/>
  <c r="D100" i="11"/>
  <c r="B100" i="11" s="1"/>
  <c r="C14" i="5"/>
  <c r="A14" i="5" s="1"/>
  <c r="E34" i="5"/>
  <c r="P34" i="5" s="1"/>
  <c r="F141" i="11"/>
  <c r="G134" i="11"/>
  <c r="E125" i="11"/>
  <c r="L125" i="11" s="1"/>
  <c r="F135" i="11"/>
  <c r="G137" i="11"/>
  <c r="E130" i="11"/>
  <c r="L130" i="11" s="1"/>
  <c r="D34" i="11"/>
  <c r="B34" i="11" s="1"/>
  <c r="D90" i="11"/>
  <c r="B90" i="11" s="1"/>
  <c r="H110" i="11"/>
  <c r="E48" i="11"/>
  <c r="L48" i="11" s="1"/>
  <c r="G88" i="11"/>
  <c r="H30" i="11"/>
  <c r="D79" i="11"/>
  <c r="B79" i="11" s="1"/>
  <c r="D33" i="11"/>
  <c r="B33" i="11" s="1"/>
  <c r="D89" i="11"/>
  <c r="B89" i="11" s="1"/>
  <c r="H100" i="11"/>
  <c r="H29" i="11"/>
  <c r="H46" i="11"/>
  <c r="D121" i="11"/>
  <c r="B121" i="11" s="1"/>
  <c r="F89" i="11"/>
  <c r="E115" i="11"/>
  <c r="L115" i="11" s="1"/>
  <c r="E136" i="11"/>
  <c r="L136" i="11" s="1"/>
  <c r="G109" i="11"/>
  <c r="G87" i="11"/>
  <c r="H133" i="11"/>
  <c r="G144" i="11"/>
  <c r="C16" i="5"/>
  <c r="A16" i="5" s="1"/>
  <c r="F31" i="5"/>
  <c r="G116" i="11"/>
  <c r="F107" i="11"/>
  <c r="E71" i="11"/>
  <c r="L71" i="11" s="1"/>
  <c r="E78" i="11"/>
  <c r="L78" i="11" s="1"/>
  <c r="H123" i="11"/>
  <c r="D68" i="11"/>
  <c r="B68" i="11" s="1"/>
  <c r="G120" i="11"/>
  <c r="E113" i="11"/>
  <c r="L113" i="11" s="1"/>
  <c r="E145" i="11"/>
  <c r="L145" i="11" s="1"/>
  <c r="G143" i="11"/>
  <c r="G71" i="11"/>
  <c r="G125" i="11"/>
  <c r="E50" i="11"/>
  <c r="L50" i="11" s="1"/>
  <c r="H35" i="11"/>
  <c r="H33" i="11"/>
  <c r="D112" i="11"/>
  <c r="B112" i="11" s="1"/>
  <c r="D81" i="11"/>
  <c r="B81" i="11" s="1"/>
  <c r="D132" i="11"/>
  <c r="B132" i="11" s="1"/>
  <c r="D36" i="11"/>
  <c r="B36" i="11" s="1"/>
  <c r="G94" i="11"/>
  <c r="E30" i="11"/>
  <c r="L30" i="11" s="1"/>
  <c r="D51" i="11"/>
  <c r="B51" i="11" s="1"/>
  <c r="G90" i="11"/>
  <c r="H34" i="11"/>
  <c r="G84" i="11"/>
  <c r="D35" i="11"/>
  <c r="B35" i="11" s="1"/>
  <c r="D91" i="11"/>
  <c r="B91" i="11" s="1"/>
  <c r="H115" i="11"/>
  <c r="E43" i="11"/>
  <c r="L43" i="11" s="1"/>
  <c r="F131" i="11"/>
  <c r="D125" i="11"/>
  <c r="B125" i="11" s="1"/>
  <c r="F97" i="11"/>
  <c r="D135" i="11"/>
  <c r="B135" i="11" s="1"/>
  <c r="D141" i="11"/>
  <c r="B141" i="11" s="1"/>
  <c r="E121" i="11"/>
  <c r="L121" i="11" s="1"/>
  <c r="F113" i="11"/>
  <c r="D64" i="11"/>
  <c r="B64" i="11" s="1"/>
  <c r="D9" i="5"/>
  <c r="O9" i="5" s="1"/>
  <c r="F12" i="5"/>
  <c r="G54" i="5"/>
  <c r="D62" i="11"/>
  <c r="B62" i="11" s="1"/>
  <c r="H141" i="11"/>
  <c r="D94" i="11"/>
  <c r="B94" i="11" s="1"/>
  <c r="G95" i="11"/>
  <c r="E120" i="11"/>
  <c r="L120" i="11" s="1"/>
  <c r="H117" i="11"/>
  <c r="G142" i="11"/>
  <c r="F126" i="11"/>
  <c r="E128" i="11"/>
  <c r="L128" i="11" s="1"/>
  <c r="E119" i="11"/>
  <c r="L119" i="11" s="1"/>
  <c r="E41" i="11"/>
  <c r="L41" i="11" s="1"/>
  <c r="D140" i="11"/>
  <c r="B140" i="11" s="1"/>
  <c r="F37" i="11"/>
  <c r="H37" i="11"/>
  <c r="D83" i="11"/>
  <c r="B83" i="11" s="1"/>
  <c r="D134" i="11"/>
  <c r="B134" i="11" s="1"/>
  <c r="G96" i="11"/>
  <c r="F32" i="11"/>
  <c r="D53" i="11"/>
  <c r="B53" i="11" s="1"/>
  <c r="H36" i="11"/>
  <c r="D37" i="11"/>
  <c r="B37" i="11" s="1"/>
  <c r="F139" i="11"/>
  <c r="G145" i="11"/>
  <c r="F31" i="11"/>
  <c r="F136" i="11"/>
  <c r="G133" i="11"/>
  <c r="F118" i="11"/>
  <c r="F109" i="11"/>
  <c r="H61" i="11"/>
  <c r="E9" i="5"/>
  <c r="Q9" i="5" s="1"/>
  <c r="F18" i="5"/>
  <c r="G51" i="5"/>
  <c r="I50" i="11"/>
  <c r="J56" i="11"/>
  <c r="J30" i="11"/>
  <c r="J122" i="11"/>
  <c r="H100" i="5"/>
  <c r="I121" i="5"/>
  <c r="I45" i="11"/>
  <c r="J49" i="11"/>
  <c r="I72" i="11"/>
  <c r="I9" i="5"/>
  <c r="I36" i="11"/>
  <c r="I73" i="11"/>
  <c r="I128" i="5"/>
  <c r="I102" i="5"/>
  <c r="I117" i="11"/>
  <c r="I116" i="11"/>
  <c r="I104" i="11"/>
  <c r="J109" i="11"/>
  <c r="H136" i="5"/>
  <c r="I19" i="11"/>
  <c r="I128" i="11"/>
  <c r="I61" i="11"/>
  <c r="J19" i="11"/>
  <c r="J55" i="11"/>
  <c r="I39" i="11"/>
  <c r="I78" i="11"/>
  <c r="I120" i="11"/>
  <c r="I62" i="11"/>
  <c r="J74" i="11"/>
  <c r="J137" i="11"/>
  <c r="J92" i="11"/>
  <c r="J102" i="11"/>
  <c r="I38" i="11"/>
  <c r="I58" i="11"/>
  <c r="J66" i="11"/>
  <c r="I105" i="5"/>
  <c r="I74" i="5"/>
  <c r="I75" i="11"/>
  <c r="J96" i="11"/>
  <c r="J22" i="11"/>
  <c r="J58" i="11"/>
  <c r="I21" i="11"/>
  <c r="I42" i="11"/>
  <c r="I81" i="11"/>
  <c r="I41" i="11"/>
  <c r="I74" i="11"/>
  <c r="J80" i="11"/>
  <c r="I52" i="11"/>
  <c r="J45" i="11"/>
  <c r="J81" i="11"/>
  <c r="J90" i="11"/>
  <c r="H74" i="5"/>
  <c r="I72" i="5"/>
  <c r="H53" i="5"/>
  <c r="I84" i="11"/>
  <c r="I47" i="11"/>
  <c r="I80" i="11"/>
  <c r="I86" i="11"/>
  <c r="J111" i="11"/>
  <c r="I134" i="11"/>
  <c r="I25" i="11"/>
  <c r="J20" i="11"/>
  <c r="J21" i="11"/>
  <c r="H128" i="5"/>
  <c r="I105" i="11"/>
  <c r="H118" i="5"/>
  <c r="I84" i="5"/>
  <c r="J25" i="11"/>
  <c r="J61" i="11"/>
  <c r="J28" i="11"/>
  <c r="J64" i="11"/>
  <c r="I24" i="11"/>
  <c r="I48" i="11"/>
  <c r="I87" i="11"/>
  <c r="I129" i="11"/>
  <c r="I53" i="11"/>
  <c r="J138" i="11"/>
  <c r="I132" i="11"/>
  <c r="I107" i="11"/>
  <c r="I99" i="11"/>
  <c r="J27" i="11"/>
  <c r="I125" i="11"/>
  <c r="J69" i="11"/>
  <c r="J119" i="11"/>
  <c r="J47" i="11"/>
  <c r="J98" i="11"/>
  <c r="J31" i="11"/>
  <c r="I65" i="11"/>
  <c r="I96" i="11"/>
  <c r="J35" i="11"/>
  <c r="J108" i="11"/>
  <c r="I67" i="11"/>
  <c r="J131" i="11"/>
  <c r="J67" i="11"/>
  <c r="I90" i="11"/>
  <c r="I140" i="11"/>
  <c r="J70" i="11"/>
  <c r="I27" i="11"/>
  <c r="I54" i="11"/>
  <c r="I71" i="11"/>
  <c r="I119" i="11"/>
  <c r="I141" i="11"/>
  <c r="I138" i="11"/>
  <c r="J135" i="11"/>
  <c r="I135" i="11"/>
  <c r="J104" i="11"/>
  <c r="I37" i="11"/>
  <c r="J75" i="11"/>
  <c r="I70" i="11"/>
  <c r="J42" i="11"/>
  <c r="J48" i="11"/>
  <c r="I51" i="5"/>
  <c r="I120" i="5"/>
  <c r="I56" i="11"/>
  <c r="I35" i="11"/>
  <c r="I143" i="11"/>
  <c r="I51" i="11"/>
  <c r="J117" i="11"/>
  <c r="J34" i="11"/>
  <c r="J37" i="11"/>
  <c r="J73" i="11"/>
  <c r="I60" i="11"/>
  <c r="I77" i="11"/>
  <c r="J99" i="11"/>
  <c r="I137" i="11"/>
  <c r="J101" i="11"/>
  <c r="I102" i="11"/>
  <c r="J123" i="11"/>
  <c r="I23" i="11"/>
  <c r="J39" i="11"/>
  <c r="I127" i="11"/>
  <c r="I92" i="11"/>
  <c r="I131" i="11"/>
  <c r="J113" i="11"/>
  <c r="I31" i="5"/>
  <c r="I133" i="5"/>
  <c r="H137" i="5"/>
  <c r="J52" i="11"/>
  <c r="J57" i="11"/>
  <c r="J76" i="11"/>
  <c r="I142" i="11"/>
  <c r="I123" i="11"/>
  <c r="I101" i="11"/>
  <c r="J63" i="11"/>
  <c r="I94" i="11"/>
  <c r="J65" i="11"/>
  <c r="J43" i="11"/>
  <c r="J79" i="11"/>
  <c r="I33" i="11"/>
  <c r="I66" i="11"/>
  <c r="I144" i="11"/>
  <c r="I111" i="11"/>
  <c r="J44" i="11"/>
  <c r="J24" i="11"/>
  <c r="I139" i="11"/>
  <c r="J87" i="11"/>
  <c r="H13" i="5"/>
  <c r="I55" i="5"/>
  <c r="H10" i="5"/>
  <c r="J68" i="11"/>
  <c r="J38" i="11"/>
  <c r="J40" i="11"/>
  <c r="I63" i="11"/>
  <c r="I83" i="11"/>
  <c r="J46" i="11"/>
  <c r="J82" i="11"/>
  <c r="I69" i="11"/>
  <c r="J134" i="11"/>
  <c r="I126" i="11"/>
  <c r="I44" i="11"/>
  <c r="J50" i="11"/>
  <c r="J120" i="11"/>
  <c r="I89" i="11"/>
  <c r="I32" i="11"/>
  <c r="J71" i="11"/>
  <c r="I28" i="11"/>
  <c r="J132" i="11"/>
  <c r="I113" i="11"/>
  <c r="J91" i="11"/>
  <c r="I50" i="5"/>
  <c r="I138" i="5"/>
  <c r="H71" i="5"/>
  <c r="I30" i="11"/>
  <c r="I57" i="11"/>
  <c r="I59" i="11"/>
  <c r="I114" i="11"/>
  <c r="J140" i="11"/>
  <c r="I68" i="11"/>
  <c r="J116" i="11"/>
  <c r="J62" i="11"/>
  <c r="I122" i="11"/>
  <c r="J143" i="11"/>
  <c r="J23" i="11"/>
  <c r="J89" i="11"/>
  <c r="J60" i="11"/>
  <c r="J26" i="11"/>
  <c r="I49" i="11"/>
  <c r="I43" i="11"/>
  <c r="I79" i="11"/>
  <c r="J84" i="11"/>
  <c r="I57" i="5"/>
  <c r="H117" i="5"/>
  <c r="H72" i="5"/>
  <c r="I71" i="5"/>
  <c r="I88" i="11"/>
  <c r="H84" i="5"/>
  <c r="H126" i="5"/>
  <c r="H125" i="5"/>
  <c r="J54" i="11"/>
  <c r="J83" i="11"/>
  <c r="I97" i="11"/>
  <c r="I103" i="11"/>
  <c r="I85" i="11"/>
  <c r="J144" i="11"/>
  <c r="H73" i="5"/>
  <c r="I124" i="5"/>
  <c r="I122" i="5"/>
  <c r="I95" i="5"/>
  <c r="I98" i="5"/>
  <c r="I130" i="5"/>
  <c r="H83" i="5"/>
  <c r="H36" i="5"/>
  <c r="H55" i="5"/>
  <c r="I94" i="5"/>
  <c r="I135" i="5"/>
  <c r="H12" i="5"/>
  <c r="I125" i="5"/>
  <c r="H52" i="5"/>
  <c r="J85" i="11"/>
  <c r="H134" i="5"/>
  <c r="I35" i="5"/>
  <c r="I39" i="5"/>
  <c r="H127" i="5"/>
  <c r="H96" i="5"/>
  <c r="H99" i="5"/>
  <c r="I83" i="5"/>
  <c r="H57" i="5"/>
  <c r="H97" i="5"/>
  <c r="H14" i="5"/>
  <c r="H38" i="5"/>
  <c r="I18" i="5"/>
  <c r="H95" i="5"/>
  <c r="I93" i="11"/>
  <c r="J29" i="11"/>
  <c r="J78" i="11"/>
  <c r="J86" i="11"/>
  <c r="J32" i="11"/>
  <c r="J77" i="11"/>
  <c r="I146" i="11"/>
  <c r="I82" i="11"/>
  <c r="I37" i="5"/>
  <c r="H31" i="5"/>
  <c r="H35" i="5"/>
  <c r="H39" i="5"/>
  <c r="I73" i="5"/>
  <c r="H129" i="5"/>
  <c r="H98" i="5"/>
  <c r="I132" i="5"/>
  <c r="I52" i="5"/>
  <c r="H82" i="5"/>
  <c r="I137" i="5"/>
  <c r="H30" i="5"/>
  <c r="H32" i="5"/>
  <c r="H101" i="5"/>
  <c r="I108" i="11"/>
  <c r="I31" i="11"/>
  <c r="I91" i="11"/>
  <c r="I110" i="11"/>
  <c r="J53" i="11"/>
  <c r="I34" i="11"/>
  <c r="J126" i="11"/>
  <c r="J59" i="11"/>
  <c r="H37" i="5"/>
  <c r="H56" i="5"/>
  <c r="H131" i="5"/>
  <c r="I123" i="5"/>
  <c r="I96" i="5"/>
  <c r="I116" i="5"/>
  <c r="I54" i="5"/>
  <c r="I36" i="5"/>
  <c r="I145" i="11"/>
  <c r="I98" i="11"/>
  <c r="I29" i="11"/>
  <c r="J33" i="11"/>
  <c r="I109" i="11"/>
  <c r="I112" i="11"/>
  <c r="I26" i="11"/>
  <c r="I55" i="11"/>
  <c r="J36" i="11"/>
  <c r="J114" i="11"/>
  <c r="I115" i="11"/>
  <c r="J141" i="11"/>
  <c r="J129" i="11"/>
  <c r="I64" i="11"/>
  <c r="I17" i="5"/>
  <c r="H105" i="5"/>
  <c r="H133" i="5"/>
  <c r="I134" i="5"/>
  <c r="H16" i="5"/>
  <c r="I119" i="5"/>
  <c r="H130" i="5"/>
  <c r="J93" i="11"/>
  <c r="J112" i="11"/>
  <c r="I46" i="11"/>
  <c r="J146" i="11"/>
  <c r="J51" i="11"/>
  <c r="H8" i="5"/>
  <c r="I53" i="5"/>
  <c r="H17" i="5"/>
  <c r="I11" i="5"/>
  <c r="I15" i="5"/>
  <c r="I33" i="5"/>
  <c r="H58" i="5"/>
  <c r="H121" i="5"/>
  <c r="H122" i="5"/>
  <c r="H123" i="5"/>
  <c r="J121" i="11"/>
  <c r="J124" i="11"/>
  <c r="J110" i="11"/>
  <c r="I40" i="11"/>
  <c r="I124" i="11"/>
  <c r="I121" i="11"/>
  <c r="I20" i="11"/>
  <c r="I136" i="11"/>
  <c r="J105" i="11"/>
  <c r="I8" i="5"/>
  <c r="H9" i="5"/>
  <c r="I13" i="5"/>
  <c r="H11" i="5"/>
  <c r="H15" i="5"/>
  <c r="H33" i="5"/>
  <c r="I40" i="5"/>
  <c r="H106" i="5"/>
  <c r="I58" i="5"/>
  <c r="I136" i="5"/>
  <c r="H120" i="5"/>
  <c r="J142" i="11"/>
  <c r="J136" i="11"/>
  <c r="I29" i="5"/>
  <c r="I117" i="5"/>
  <c r="I129" i="5"/>
  <c r="H116" i="5"/>
  <c r="H51" i="5"/>
  <c r="H138" i="5"/>
  <c r="I82" i="5"/>
  <c r="J88" i="11"/>
  <c r="I32" i="5"/>
  <c r="J128" i="11"/>
  <c r="J107" i="11"/>
  <c r="I130" i="11"/>
  <c r="I76" i="11"/>
  <c r="I22" i="11"/>
  <c r="I106" i="11"/>
  <c r="J72" i="11"/>
  <c r="I133" i="11"/>
  <c r="J41" i="11"/>
  <c r="I100" i="11"/>
  <c r="H29" i="5"/>
  <c r="I127" i="5"/>
  <c r="I106" i="5"/>
  <c r="I118" i="5"/>
  <c r="H94" i="5"/>
  <c r="I100" i="5"/>
  <c r="I126" i="5"/>
  <c r="I131" i="5"/>
  <c r="H124" i="5"/>
  <c r="H50" i="5"/>
  <c r="H135" i="5"/>
  <c r="I99" i="5"/>
  <c r="J125" i="11"/>
  <c r="H34" i="5"/>
  <c r="I14" i="5"/>
  <c r="I95" i="11"/>
  <c r="J139" i="11"/>
  <c r="J133" i="11"/>
  <c r="H40" i="5"/>
  <c r="I56" i="5"/>
  <c r="J127" i="11"/>
  <c r="I38" i="5"/>
  <c r="H132" i="5"/>
  <c r="I12" i="5"/>
  <c r="H102" i="5"/>
  <c r="H54" i="5"/>
  <c r="J115" i="11"/>
  <c r="J95" i="11"/>
  <c r="J130" i="11"/>
  <c r="I34" i="5"/>
  <c r="J145" i="11"/>
  <c r="J100" i="11"/>
  <c r="J118" i="11"/>
  <c r="I101" i="5"/>
  <c r="H18" i="5"/>
  <c r="I97" i="5"/>
  <c r="I16" i="5"/>
  <c r="J94" i="11"/>
  <c r="H119" i="5"/>
  <c r="I30" i="5"/>
  <c r="J97" i="11"/>
  <c r="I10" i="5"/>
  <c r="J103" i="11"/>
  <c r="J106" i="11"/>
  <c r="I118" i="11"/>
  <c r="M147" i="5"/>
  <c r="L147" i="5"/>
  <c r="J82" i="5"/>
  <c r="S136" i="5"/>
  <c r="O137" i="5"/>
  <c r="K137" i="5"/>
  <c r="S94" i="5"/>
  <c r="K84" i="5"/>
  <c r="P17" i="5"/>
  <c r="Q17" i="5"/>
  <c r="O17" i="5"/>
  <c r="K17" i="5"/>
  <c r="K130" i="5"/>
  <c r="K34" i="5"/>
  <c r="O34" i="5"/>
  <c r="K82" i="11"/>
  <c r="K106" i="11"/>
  <c r="K96" i="11"/>
  <c r="K105" i="11"/>
  <c r="K95" i="11"/>
  <c r="K102" i="11"/>
  <c r="K99" i="11"/>
  <c r="F10" i="11"/>
  <c r="D16" i="11"/>
  <c r="B16" i="11" s="1"/>
  <c r="H16" i="11"/>
  <c r="H18" i="11"/>
  <c r="F9" i="11"/>
  <c r="F17" i="11"/>
  <c r="C19" i="18"/>
  <c r="D26" i="18"/>
  <c r="D32" i="18"/>
  <c r="D38" i="18"/>
  <c r="C21" i="18"/>
  <c r="C27" i="18"/>
  <c r="C33" i="18"/>
  <c r="C39" i="18"/>
  <c r="C23" i="18"/>
  <c r="D21" i="18"/>
  <c r="D27" i="18"/>
  <c r="D33" i="18"/>
  <c r="D39" i="18"/>
  <c r="C41" i="18"/>
  <c r="C22" i="18"/>
  <c r="C28" i="18"/>
  <c r="C34" i="18"/>
  <c r="C40" i="18"/>
  <c r="C35" i="18"/>
  <c r="D22" i="18"/>
  <c r="D28" i="18"/>
  <c r="D34" i="18"/>
  <c r="D40" i="18"/>
  <c r="C29" i="18"/>
  <c r="D23" i="18"/>
  <c r="D29" i="18"/>
  <c r="D35" i="18"/>
  <c r="D41" i="18"/>
  <c r="C24" i="18"/>
  <c r="C30" i="18"/>
  <c r="C36" i="18"/>
  <c r="D24" i="18"/>
  <c r="D30" i="18"/>
  <c r="D36" i="18"/>
  <c r="C25" i="18"/>
  <c r="C31" i="18"/>
  <c r="C37" i="18"/>
  <c r="D25" i="18"/>
  <c r="D31" i="18"/>
  <c r="D37" i="18"/>
  <c r="D19" i="18"/>
  <c r="C26" i="18"/>
  <c r="C32" i="18"/>
  <c r="C38" i="18"/>
  <c r="H14" i="11"/>
  <c r="E14" i="11"/>
  <c r="L14" i="11" s="1"/>
  <c r="H10" i="11"/>
  <c r="F15" i="11"/>
  <c r="G12" i="11"/>
  <c r="E15" i="11"/>
  <c r="L15" i="11" s="1"/>
  <c r="F14" i="11"/>
  <c r="D9" i="11"/>
  <c r="B9" i="11" s="1"/>
  <c r="C13" i="18"/>
  <c r="K63" i="2"/>
  <c r="K87" i="2"/>
  <c r="D13" i="18"/>
  <c r="C8" i="18"/>
  <c r="C14" i="18"/>
  <c r="K65" i="2"/>
  <c r="K77" i="2"/>
  <c r="K89" i="2"/>
  <c r="K78" i="2"/>
  <c r="K90" i="2"/>
  <c r="K84" i="2"/>
  <c r="D8" i="18"/>
  <c r="D14" i="18"/>
  <c r="K66" i="2"/>
  <c r="K60" i="2"/>
  <c r="C9" i="18"/>
  <c r="C15" i="18"/>
  <c r="D17" i="11"/>
  <c r="B17" i="11" s="1"/>
  <c r="D9" i="18"/>
  <c r="D15" i="18"/>
  <c r="K56" i="2"/>
  <c r="K68" i="2"/>
  <c r="K80" i="2"/>
  <c r="K72" i="2"/>
  <c r="C10" i="18"/>
  <c r="C16" i="18"/>
  <c r="K57" i="2"/>
  <c r="K69" i="2"/>
  <c r="K81" i="2"/>
  <c r="K59" i="2"/>
  <c r="C12" i="18"/>
  <c r="G18" i="11"/>
  <c r="D10" i="18"/>
  <c r="D16" i="18"/>
  <c r="D12" i="11"/>
  <c r="B12" i="11" s="1"/>
  <c r="K71" i="2"/>
  <c r="D11" i="18"/>
  <c r="F12" i="11"/>
  <c r="C11" i="18"/>
  <c r="E12" i="11"/>
  <c r="L12" i="11" s="1"/>
  <c r="D18" i="11"/>
  <c r="B18" i="11" s="1"/>
  <c r="K83" i="2"/>
  <c r="F18" i="11"/>
  <c r="H12" i="11"/>
  <c r="D12" i="18"/>
  <c r="K62" i="2"/>
  <c r="K74" i="2"/>
  <c r="K86" i="2"/>
  <c r="K75" i="2"/>
  <c r="G16" i="11"/>
  <c r="H17" i="11"/>
  <c r="H15" i="11"/>
  <c r="F16" i="11"/>
  <c r="G17" i="11"/>
  <c r="E11" i="11"/>
  <c r="L11" i="11" s="1"/>
  <c r="F11" i="11"/>
  <c r="D10" i="11"/>
  <c r="B10" i="11" s="1"/>
  <c r="E16" i="11"/>
  <c r="L16" i="11" s="1"/>
  <c r="E18" i="11"/>
  <c r="L18" i="11" s="1"/>
  <c r="G13" i="11"/>
  <c r="G14" i="11"/>
  <c r="H11" i="11"/>
  <c r="G10" i="11"/>
  <c r="H9" i="11"/>
  <c r="D15" i="11"/>
  <c r="B15" i="11" s="1"/>
  <c r="D13" i="11"/>
  <c r="B13" i="11" s="1"/>
  <c r="E13" i="11"/>
  <c r="L13" i="11" s="1"/>
  <c r="D14" i="11"/>
  <c r="B14" i="11" s="1"/>
  <c r="G11" i="11"/>
  <c r="E17" i="11"/>
  <c r="L17" i="11" s="1"/>
  <c r="D11" i="11"/>
  <c r="B11" i="11" s="1"/>
  <c r="G9" i="11"/>
  <c r="E10" i="11"/>
  <c r="L10" i="11" s="1"/>
  <c r="F13" i="11"/>
  <c r="H13" i="11"/>
  <c r="E9" i="11"/>
  <c r="L9" i="11" s="1"/>
  <c r="G15" i="11"/>
  <c r="B8" i="22"/>
  <c r="B36" i="22"/>
  <c r="B20" i="22"/>
  <c r="K38" i="2"/>
  <c r="K50" i="2"/>
  <c r="K33" i="2"/>
  <c r="K26" i="2"/>
  <c r="K39" i="2"/>
  <c r="K51" i="2"/>
  <c r="K47" i="2"/>
  <c r="K27" i="2"/>
  <c r="K41" i="2"/>
  <c r="K53" i="2"/>
  <c r="K48" i="2"/>
  <c r="K17" i="2"/>
  <c r="K29" i="2"/>
  <c r="K42" i="2"/>
  <c r="K54" i="2"/>
  <c r="K18" i="2"/>
  <c r="K30" i="2"/>
  <c r="K36" i="2"/>
  <c r="K44" i="2"/>
  <c r="K20" i="2"/>
  <c r="K32" i="2"/>
  <c r="K45" i="2"/>
  <c r="K21" i="2"/>
  <c r="K23" i="2"/>
  <c r="K24" i="2"/>
  <c r="K35" i="2"/>
  <c r="K7" i="2"/>
  <c r="K8" i="2"/>
  <c r="K9" i="2"/>
  <c r="K10" i="2"/>
  <c r="K11" i="2"/>
  <c r="K13" i="2"/>
  <c r="K14" i="2"/>
  <c r="C17" i="18"/>
  <c r="C7" i="18"/>
  <c r="K16" i="2"/>
  <c r="D7" i="18"/>
  <c r="B37" i="22"/>
  <c r="B21" i="22"/>
  <c r="B9" i="22"/>
  <c r="B35" i="22"/>
  <c r="B19" i="22"/>
  <c r="B7" i="22"/>
  <c r="B34" i="22"/>
  <c r="B18" i="22"/>
  <c r="B6" i="22"/>
  <c r="B33" i="22"/>
  <c r="B17" i="22"/>
  <c r="B5" i="22"/>
  <c r="B32" i="22"/>
  <c r="B16" i="22"/>
  <c r="B4" i="22"/>
  <c r="B15" i="22"/>
  <c r="B3" i="22"/>
  <c r="B14" i="22"/>
  <c r="B13" i="22"/>
  <c r="B12" i="22"/>
  <c r="C20" i="18"/>
  <c r="B23" i="22"/>
  <c r="B11" i="22"/>
  <c r="B22" i="22"/>
  <c r="B10" i="22"/>
  <c r="J5" i="3"/>
  <c r="D4" i="3"/>
  <c r="C42" i="18"/>
  <c r="B5" i="5"/>
  <c r="G29" i="10"/>
  <c r="I29" i="10" s="1"/>
  <c r="N30" i="10"/>
  <c r="O30" i="10"/>
  <c r="O33" i="10"/>
  <c r="O34" i="10"/>
  <c r="O36" i="10"/>
  <c r="O39" i="10"/>
  <c r="O42" i="10"/>
  <c r="O29" i="10"/>
  <c r="N42" i="10"/>
  <c r="N41" i="10"/>
  <c r="O41" i="10" s="1"/>
  <c r="N40" i="10"/>
  <c r="O40" i="10" s="1"/>
  <c r="N39" i="10"/>
  <c r="N38" i="10"/>
  <c r="O38" i="10" s="1"/>
  <c r="N37" i="10"/>
  <c r="O37" i="10" s="1"/>
  <c r="N36" i="10"/>
  <c r="N35" i="10"/>
  <c r="O35" i="10" s="1"/>
  <c r="N34" i="10"/>
  <c r="N33" i="10"/>
  <c r="N32" i="10"/>
  <c r="O32" i="10" s="1"/>
  <c r="N31" i="10"/>
  <c r="O31" i="10" s="1"/>
  <c r="N29" i="10"/>
  <c r="C8" i="11"/>
  <c r="A52" i="5" l="1"/>
  <c r="C54" i="16"/>
  <c r="A54" i="16" s="1"/>
  <c r="O58" i="5"/>
  <c r="D60" i="16"/>
  <c r="A53" i="5"/>
  <c r="C55" i="16"/>
  <c r="A55" i="16" s="1"/>
  <c r="J39" i="5"/>
  <c r="D39" i="16"/>
  <c r="D74" i="16"/>
  <c r="K32" i="5"/>
  <c r="D32" i="16"/>
  <c r="A49" i="5"/>
  <c r="C49" i="16"/>
  <c r="A49" i="16" s="1"/>
  <c r="A27" i="5"/>
  <c r="C26" i="16"/>
  <c r="A26" i="16" s="1"/>
  <c r="A39" i="5"/>
  <c r="C39" i="16"/>
  <c r="A39" i="16" s="1"/>
  <c r="C74" i="16"/>
  <c r="A74" i="16" s="1"/>
  <c r="A31" i="5"/>
  <c r="C31" i="16"/>
  <c r="A31" i="16" s="1"/>
  <c r="J33" i="5"/>
  <c r="D33" i="16"/>
  <c r="A60" i="5"/>
  <c r="C62" i="16"/>
  <c r="A62" i="16" s="1"/>
  <c r="A45" i="5"/>
  <c r="C45" i="16"/>
  <c r="A45" i="16" s="1"/>
  <c r="O26" i="5"/>
  <c r="S26" i="5" s="1"/>
  <c r="F25" i="16" s="1"/>
  <c r="D25" i="16"/>
  <c r="O27" i="5"/>
  <c r="D26" i="16"/>
  <c r="A33" i="5"/>
  <c r="C33" i="16"/>
  <c r="A33" i="16" s="1"/>
  <c r="N31" i="5"/>
  <c r="R31" i="5" s="1"/>
  <c r="E31" i="16" s="1"/>
  <c r="D31" i="16"/>
  <c r="A35" i="5"/>
  <c r="C35" i="16"/>
  <c r="A35" i="16" s="1"/>
  <c r="A55" i="5"/>
  <c r="C57" i="16"/>
  <c r="A57" i="16" s="1"/>
  <c r="A32" i="5"/>
  <c r="C32" i="16"/>
  <c r="A32" i="16" s="1"/>
  <c r="K61" i="5"/>
  <c r="D63" i="16"/>
  <c r="A67" i="5"/>
  <c r="C69" i="16"/>
  <c r="A69" i="16" s="1"/>
  <c r="A59" i="5"/>
  <c r="C61" i="16"/>
  <c r="A61" i="16" s="1"/>
  <c r="A41" i="5"/>
  <c r="C41" i="16"/>
  <c r="A41" i="16" s="1"/>
  <c r="C76" i="16"/>
  <c r="A76" i="16" s="1"/>
  <c r="A44" i="5"/>
  <c r="C44" i="16"/>
  <c r="A44" i="16" s="1"/>
  <c r="O25" i="5"/>
  <c r="D24" i="16"/>
  <c r="A28" i="5"/>
  <c r="C27" i="16"/>
  <c r="A27" i="16" s="1"/>
  <c r="A34" i="5"/>
  <c r="C34" i="16"/>
  <c r="A34" i="16" s="1"/>
  <c r="A65" i="5"/>
  <c r="C67" i="16"/>
  <c r="A67" i="16" s="1"/>
  <c r="A46" i="5"/>
  <c r="C46" i="16"/>
  <c r="A46" i="16" s="1"/>
  <c r="A20" i="5"/>
  <c r="C19" i="16"/>
  <c r="A19" i="16" s="1"/>
  <c r="K24" i="5"/>
  <c r="D23" i="16"/>
  <c r="O40" i="5"/>
  <c r="D75" i="16"/>
  <c r="D40" i="16"/>
  <c r="A40" i="5"/>
  <c r="C40" i="16"/>
  <c r="A40" i="16" s="1"/>
  <c r="C75" i="16"/>
  <c r="A75" i="16" s="1"/>
  <c r="A30" i="5"/>
  <c r="C30" i="16"/>
  <c r="A30" i="16" s="1"/>
  <c r="A58" i="5"/>
  <c r="C60" i="16"/>
  <c r="A60" i="16" s="1"/>
  <c r="K65" i="5"/>
  <c r="D67" i="16"/>
  <c r="K63" i="5"/>
  <c r="D65" i="16"/>
  <c r="A48" i="5"/>
  <c r="C48" i="16"/>
  <c r="A48" i="16" s="1"/>
  <c r="A26" i="5"/>
  <c r="C25" i="16"/>
  <c r="A25" i="16" s="1"/>
  <c r="A22" i="5"/>
  <c r="C21" i="16"/>
  <c r="A21" i="16" s="1"/>
  <c r="K19" i="5"/>
  <c r="D18" i="16"/>
  <c r="R121" i="5"/>
  <c r="J35" i="5"/>
  <c r="D35" i="16"/>
  <c r="A51" i="5"/>
  <c r="C53" i="16"/>
  <c r="A53" i="16" s="1"/>
  <c r="S23" i="5"/>
  <c r="F22" i="16" s="1"/>
  <c r="Q68" i="5"/>
  <c r="A64" i="5"/>
  <c r="C66" i="16"/>
  <c r="A66" i="16" s="1"/>
  <c r="A21" i="5"/>
  <c r="C20" i="16"/>
  <c r="A20" i="16" s="1"/>
  <c r="A18" i="5"/>
  <c r="C17" i="16"/>
  <c r="A17" i="16" s="1"/>
  <c r="P45" i="5"/>
  <c r="K49" i="5"/>
  <c r="A66" i="5"/>
  <c r="C68" i="16"/>
  <c r="A68" i="16" s="1"/>
  <c r="A68" i="5"/>
  <c r="C70" i="16"/>
  <c r="A70" i="16" s="1"/>
  <c r="A47" i="5"/>
  <c r="C47" i="16"/>
  <c r="A47" i="16" s="1"/>
  <c r="K43" i="5"/>
  <c r="D43" i="16"/>
  <c r="D78" i="16"/>
  <c r="A57" i="5"/>
  <c r="C59" i="16"/>
  <c r="A59" i="16" s="1"/>
  <c r="O69" i="5"/>
  <c r="S69" i="5" s="1"/>
  <c r="F71" i="16" s="1"/>
  <c r="D71" i="16"/>
  <c r="D42" i="16"/>
  <c r="D77" i="16"/>
  <c r="A36" i="5"/>
  <c r="C36" i="16"/>
  <c r="A36" i="16" s="1"/>
  <c r="K30" i="5"/>
  <c r="D30" i="16"/>
  <c r="J106" i="5"/>
  <c r="A37" i="5"/>
  <c r="C37" i="16"/>
  <c r="A37" i="16" s="1"/>
  <c r="K52" i="5"/>
  <c r="D54" i="16"/>
  <c r="A54" i="5"/>
  <c r="C56" i="16"/>
  <c r="A56" i="16" s="1"/>
  <c r="O67" i="5"/>
  <c r="S67" i="5" s="1"/>
  <c r="F69" i="16" s="1"/>
  <c r="K27" i="5"/>
  <c r="A70" i="5"/>
  <c r="C72" i="16"/>
  <c r="A72" i="16" s="1"/>
  <c r="O41" i="5"/>
  <c r="D76" i="16"/>
  <c r="D41" i="16"/>
  <c r="K38" i="5"/>
  <c r="D38" i="16"/>
  <c r="K69" i="5"/>
  <c r="A69" i="5"/>
  <c r="C71" i="16"/>
  <c r="A71" i="16" s="1"/>
  <c r="A61" i="5"/>
  <c r="C63" i="16"/>
  <c r="A63" i="16" s="1"/>
  <c r="A25" i="5"/>
  <c r="C24" i="16"/>
  <c r="A24" i="16" s="1"/>
  <c r="A19" i="5"/>
  <c r="C18" i="16"/>
  <c r="A18" i="16" s="1"/>
  <c r="A24" i="5"/>
  <c r="C23" i="16"/>
  <c r="A23" i="16" s="1"/>
  <c r="K18" i="5"/>
  <c r="D17" i="16"/>
  <c r="A50" i="5"/>
  <c r="C52" i="16"/>
  <c r="A52" i="16" s="1"/>
  <c r="A63" i="5"/>
  <c r="C65" i="16"/>
  <c r="A65" i="16" s="1"/>
  <c r="A62" i="5"/>
  <c r="C64" i="16"/>
  <c r="A64" i="16" s="1"/>
  <c r="A43" i="5"/>
  <c r="C78" i="16"/>
  <c r="A78" i="16" s="1"/>
  <c r="C43" i="16"/>
  <c r="A43" i="16" s="1"/>
  <c r="A42" i="5"/>
  <c r="C77" i="16"/>
  <c r="A77" i="16" s="1"/>
  <c r="C42" i="16"/>
  <c r="A42" i="16" s="1"/>
  <c r="A23" i="5"/>
  <c r="C22" i="16"/>
  <c r="A22" i="16" s="1"/>
  <c r="A38" i="5"/>
  <c r="C38" i="16"/>
  <c r="A38" i="16" s="1"/>
  <c r="K36" i="5"/>
  <c r="D36" i="16"/>
  <c r="O122" i="5"/>
  <c r="A56" i="5"/>
  <c r="C58" i="16"/>
  <c r="A58" i="16" s="1"/>
  <c r="N37" i="5"/>
  <c r="D37" i="16"/>
  <c r="O57" i="5"/>
  <c r="D59" i="16"/>
  <c r="O104" i="5"/>
  <c r="S104" i="5" s="1"/>
  <c r="K46" i="5"/>
  <c r="D46" i="16"/>
  <c r="K129" i="5"/>
  <c r="Q69" i="5"/>
  <c r="Q28" i="5"/>
  <c r="O61" i="5"/>
  <c r="S61" i="5" s="1"/>
  <c r="F63" i="16" s="1"/>
  <c r="Q41" i="5"/>
  <c r="K25" i="5"/>
  <c r="K103" i="5"/>
  <c r="Q47" i="5"/>
  <c r="K40" i="5"/>
  <c r="Q23" i="5"/>
  <c r="P83" i="5"/>
  <c r="Q48" i="5"/>
  <c r="S48" i="5"/>
  <c r="F48" i="16" s="1"/>
  <c r="Q62" i="5"/>
  <c r="S28" i="5"/>
  <c r="F27" i="16" s="1"/>
  <c r="J27" i="5"/>
  <c r="N27" i="5" s="1"/>
  <c r="R27" i="5" s="1"/>
  <c r="E26" i="16" s="1"/>
  <c r="J20" i="5"/>
  <c r="N20" i="5" s="1"/>
  <c r="R20" i="5" s="1"/>
  <c r="E19" i="16" s="1"/>
  <c r="J26" i="5"/>
  <c r="N26" i="5" s="1"/>
  <c r="R26" i="5" s="1"/>
  <c r="E25" i="16" s="1"/>
  <c r="G25" i="16" s="1"/>
  <c r="J28" i="5"/>
  <c r="N28" i="5" s="1"/>
  <c r="R28" i="5" s="1"/>
  <c r="E27" i="16" s="1"/>
  <c r="J21" i="5"/>
  <c r="N21" i="5" s="1"/>
  <c r="R21" i="5" s="1"/>
  <c r="E20" i="16" s="1"/>
  <c r="G20" i="16" s="1"/>
  <c r="J19" i="5"/>
  <c r="N19" i="5" s="1"/>
  <c r="R19" i="5" s="1"/>
  <c r="E18" i="16" s="1"/>
  <c r="J65" i="5"/>
  <c r="N65" i="5" s="1"/>
  <c r="R65" i="5" s="1"/>
  <c r="E67" i="16" s="1"/>
  <c r="G67" i="16" s="1"/>
  <c r="J43" i="5"/>
  <c r="N43" i="5" s="1"/>
  <c r="R43" i="5" s="1"/>
  <c r="J25" i="5"/>
  <c r="F13" i="3"/>
  <c r="H13" i="3"/>
  <c r="G13" i="3"/>
  <c r="I13" i="3"/>
  <c r="F12" i="3"/>
  <c r="I12" i="3"/>
  <c r="H12" i="3"/>
  <c r="G12" i="3"/>
  <c r="F11" i="3"/>
  <c r="H11" i="3"/>
  <c r="G11" i="3"/>
  <c r="I11" i="3"/>
  <c r="F10" i="3"/>
  <c r="I10" i="3"/>
  <c r="H10" i="3"/>
  <c r="G10" i="3"/>
  <c r="F9" i="3"/>
  <c r="H9" i="3"/>
  <c r="G9" i="3"/>
  <c r="I9" i="3"/>
  <c r="O43" i="5"/>
  <c r="S43" i="5" s="1"/>
  <c r="J100" i="5"/>
  <c r="J45" i="5"/>
  <c r="N45" i="5" s="1"/>
  <c r="R45" i="5" s="1"/>
  <c r="J61" i="5"/>
  <c r="N61" i="5" s="1"/>
  <c r="R61" i="5" s="1"/>
  <c r="E63" i="16" s="1"/>
  <c r="P78" i="5"/>
  <c r="P64" i="5"/>
  <c r="O91" i="5"/>
  <c r="S91" i="5" s="1"/>
  <c r="Q85" i="5"/>
  <c r="Q44" i="5"/>
  <c r="Q67" i="5"/>
  <c r="K115" i="5"/>
  <c r="S41" i="5"/>
  <c r="O65" i="5"/>
  <c r="S65" i="5" s="1"/>
  <c r="F67" i="16" s="1"/>
  <c r="J90" i="5"/>
  <c r="N90" i="5" s="1"/>
  <c r="R90" i="5" s="1"/>
  <c r="J47" i="5"/>
  <c r="N47" i="5" s="1"/>
  <c r="R47" i="5" s="1"/>
  <c r="J48" i="5"/>
  <c r="N48" i="5" s="1"/>
  <c r="R48" i="5" s="1"/>
  <c r="J70" i="5"/>
  <c r="N70" i="5" s="1"/>
  <c r="R70" i="5" s="1"/>
  <c r="E72" i="16" s="1"/>
  <c r="O19" i="5"/>
  <c r="S19" i="5" s="1"/>
  <c r="F18" i="16" s="1"/>
  <c r="S103" i="5"/>
  <c r="S25" i="5"/>
  <c r="F24" i="16" s="1"/>
  <c r="J87" i="5"/>
  <c r="N87" i="5" s="1"/>
  <c r="R87" i="5" s="1"/>
  <c r="J22" i="5"/>
  <c r="K22" i="5"/>
  <c r="O22" i="5"/>
  <c r="S22" i="5" s="1"/>
  <c r="F21" i="16" s="1"/>
  <c r="J67" i="5"/>
  <c r="J77" i="5"/>
  <c r="N77" i="5" s="1"/>
  <c r="R77" i="5" s="1"/>
  <c r="E80" i="16" s="1"/>
  <c r="G80" i="16" s="1"/>
  <c r="J23" i="5"/>
  <c r="N23" i="5" s="1"/>
  <c r="R23" i="5" s="1"/>
  <c r="E22" i="16" s="1"/>
  <c r="G22" i="16" s="1"/>
  <c r="S79" i="5"/>
  <c r="J75" i="5"/>
  <c r="N75" i="5" s="1"/>
  <c r="R75" i="5" s="1"/>
  <c r="J46" i="5"/>
  <c r="P104" i="5"/>
  <c r="K80" i="5"/>
  <c r="K41" i="5"/>
  <c r="Q75" i="5"/>
  <c r="J41" i="5"/>
  <c r="Q20" i="5"/>
  <c r="S20" i="5"/>
  <c r="F19" i="16" s="1"/>
  <c r="P20" i="5"/>
  <c r="P30" i="5"/>
  <c r="S105" i="5"/>
  <c r="Q86" i="5"/>
  <c r="O90" i="5"/>
  <c r="S90" i="5" s="1"/>
  <c r="J89" i="5"/>
  <c r="J76" i="5"/>
  <c r="O87" i="5"/>
  <c r="S87" i="5" s="1"/>
  <c r="J24" i="5"/>
  <c r="N24" i="5" s="1"/>
  <c r="R24" i="5" s="1"/>
  <c r="E23" i="16" s="1"/>
  <c r="O24" i="5"/>
  <c r="S24" i="5" s="1"/>
  <c r="F23" i="16" s="1"/>
  <c r="Q27" i="5"/>
  <c r="S27" i="5"/>
  <c r="F26" i="16" s="1"/>
  <c r="P27" i="5"/>
  <c r="Q66" i="5"/>
  <c r="Q25" i="5"/>
  <c r="P42" i="5"/>
  <c r="K67" i="5"/>
  <c r="J49" i="5"/>
  <c r="N49" i="5" s="1"/>
  <c r="R49" i="5" s="1"/>
  <c r="J104" i="5"/>
  <c r="N104" i="5" s="1"/>
  <c r="R104" i="5" s="1"/>
  <c r="J63" i="5"/>
  <c r="N63" i="5" s="1"/>
  <c r="R63" i="5" s="1"/>
  <c r="E65" i="16" s="1"/>
  <c r="J42" i="5"/>
  <c r="K42" i="5"/>
  <c r="O42" i="5"/>
  <c r="S42" i="5" s="1"/>
  <c r="P57" i="5"/>
  <c r="Q49" i="5"/>
  <c r="S49" i="5"/>
  <c r="F49" i="16" s="1"/>
  <c r="P49" i="5"/>
  <c r="K140" i="5"/>
  <c r="Q112" i="5"/>
  <c r="J80" i="5"/>
  <c r="S70" i="5"/>
  <c r="F72" i="16" s="1"/>
  <c r="O44" i="5"/>
  <c r="S44" i="5" s="1"/>
  <c r="F44" i="16" s="1"/>
  <c r="K44" i="5"/>
  <c r="J44" i="5"/>
  <c r="P143" i="5"/>
  <c r="O111" i="5"/>
  <c r="S111" i="5" s="1"/>
  <c r="J62" i="5"/>
  <c r="K62" i="5"/>
  <c r="O62" i="5"/>
  <c r="S62" i="5" s="1"/>
  <c r="F64" i="16" s="1"/>
  <c r="J60" i="5"/>
  <c r="O60" i="5"/>
  <c r="S60" i="5" s="1"/>
  <c r="F62" i="16" s="1"/>
  <c r="K60" i="5"/>
  <c r="K79" i="5"/>
  <c r="Q70" i="5"/>
  <c r="J59" i="5"/>
  <c r="O59" i="5"/>
  <c r="S59" i="5" s="1"/>
  <c r="F61" i="16" s="1"/>
  <c r="K59" i="5"/>
  <c r="K64" i="5"/>
  <c r="P70" i="5"/>
  <c r="P14" i="5"/>
  <c r="K66" i="5"/>
  <c r="J64" i="5"/>
  <c r="J92" i="5"/>
  <c r="J85" i="5"/>
  <c r="N85" i="5" s="1"/>
  <c r="R85" i="5" s="1"/>
  <c r="J79" i="5"/>
  <c r="J81" i="5"/>
  <c r="J69" i="5"/>
  <c r="N69" i="5" s="1"/>
  <c r="R69" i="5" s="1"/>
  <c r="E71" i="16" s="1"/>
  <c r="R130" i="5"/>
  <c r="J66" i="5"/>
  <c r="O64" i="5"/>
  <c r="S64" i="5" s="1"/>
  <c r="F66" i="16" s="1"/>
  <c r="J68" i="5"/>
  <c r="K68" i="5"/>
  <c r="O68" i="5"/>
  <c r="S68" i="5" s="1"/>
  <c r="F70" i="16" s="1"/>
  <c r="O66" i="5"/>
  <c r="S66" i="5" s="1"/>
  <c r="F68" i="16" s="1"/>
  <c r="Q145" i="5"/>
  <c r="Q90" i="5"/>
  <c r="O75" i="5"/>
  <c r="S75" i="5" s="1"/>
  <c r="S80" i="5"/>
  <c r="P80" i="5"/>
  <c r="Q80" i="5"/>
  <c r="J91" i="5"/>
  <c r="N91" i="5" s="1"/>
  <c r="R91" i="5" s="1"/>
  <c r="P77" i="5"/>
  <c r="Q77" i="5"/>
  <c r="S77" i="5"/>
  <c r="J78" i="5"/>
  <c r="K78" i="5"/>
  <c r="O78" i="5"/>
  <c r="S78" i="5" s="1"/>
  <c r="K76" i="5"/>
  <c r="J86" i="5"/>
  <c r="O81" i="5"/>
  <c r="S81" i="5" s="1"/>
  <c r="Q146" i="5"/>
  <c r="Q114" i="5"/>
  <c r="K81" i="5"/>
  <c r="O76" i="5"/>
  <c r="S76" i="5" s="1"/>
  <c r="K126" i="5"/>
  <c r="O16" i="5"/>
  <c r="S16" i="5" s="1"/>
  <c r="J109" i="5"/>
  <c r="N109" i="5" s="1"/>
  <c r="R109" i="5" s="1"/>
  <c r="Q141" i="5"/>
  <c r="O109" i="5"/>
  <c r="S109" i="5" s="1"/>
  <c r="O86" i="5"/>
  <c r="S86" i="5" s="1"/>
  <c r="Q92" i="5"/>
  <c r="Q89" i="5"/>
  <c r="O89" i="5"/>
  <c r="S89" i="5" s="1"/>
  <c r="J140" i="5"/>
  <c r="K86" i="5"/>
  <c r="P87" i="5"/>
  <c r="Q87" i="5"/>
  <c r="K89" i="5"/>
  <c r="P88" i="5"/>
  <c r="S88" i="5"/>
  <c r="Q88" i="5"/>
  <c r="O93" i="5"/>
  <c r="S93" i="5" s="1"/>
  <c r="K93" i="5"/>
  <c r="J93" i="5"/>
  <c r="K14" i="5"/>
  <c r="K92" i="5"/>
  <c r="O92" i="5"/>
  <c r="S92" i="5" s="1"/>
  <c r="Q91" i="5"/>
  <c r="Q103" i="5"/>
  <c r="J88" i="5"/>
  <c r="K88" i="5"/>
  <c r="J103" i="5"/>
  <c r="N103" i="5" s="1"/>
  <c r="R103" i="5" s="1"/>
  <c r="S85" i="5"/>
  <c r="J111" i="5"/>
  <c r="N111" i="5" s="1"/>
  <c r="R111" i="5" s="1"/>
  <c r="Q111" i="5"/>
  <c r="Q107" i="5"/>
  <c r="Q109" i="5"/>
  <c r="P139" i="5"/>
  <c r="S115" i="5"/>
  <c r="P115" i="5"/>
  <c r="S139" i="5"/>
  <c r="S143" i="5"/>
  <c r="P111" i="5"/>
  <c r="J114" i="5"/>
  <c r="N114" i="5" s="1"/>
  <c r="R114" i="5" s="1"/>
  <c r="P110" i="5"/>
  <c r="O114" i="5"/>
  <c r="S114" i="5" s="1"/>
  <c r="Q108" i="5"/>
  <c r="O141" i="5"/>
  <c r="S141" i="5" s="1"/>
  <c r="O107" i="5"/>
  <c r="S107" i="5" s="1"/>
  <c r="J107" i="5"/>
  <c r="K107" i="5"/>
  <c r="Q142" i="5"/>
  <c r="K143" i="5"/>
  <c r="P108" i="5"/>
  <c r="S144" i="5"/>
  <c r="J145" i="5"/>
  <c r="P73" i="5"/>
  <c r="J108" i="5"/>
  <c r="N108" i="5" s="1"/>
  <c r="R108" i="5" s="1"/>
  <c r="O108" i="5"/>
  <c r="S108" i="5" s="1"/>
  <c r="J143" i="5"/>
  <c r="J110" i="5"/>
  <c r="K110" i="5"/>
  <c r="O110" i="5"/>
  <c r="S110" i="5" s="1"/>
  <c r="O32" i="5"/>
  <c r="S32" i="5" s="1"/>
  <c r="F32" i="16" s="1"/>
  <c r="J115" i="5"/>
  <c r="K112" i="5"/>
  <c r="O112" i="5"/>
  <c r="S112" i="5" s="1"/>
  <c r="J112" i="5"/>
  <c r="O133" i="5"/>
  <c r="Q133" i="5" s="1"/>
  <c r="Q113" i="5"/>
  <c r="P113" i="5"/>
  <c r="J141" i="5"/>
  <c r="N141" i="5" s="1"/>
  <c r="R141" i="5" s="1"/>
  <c r="K113" i="5"/>
  <c r="J113" i="5"/>
  <c r="O113" i="5"/>
  <c r="S113" i="5" s="1"/>
  <c r="P140" i="5"/>
  <c r="Q140" i="5"/>
  <c r="S140" i="5"/>
  <c r="Q144" i="5"/>
  <c r="O145" i="5"/>
  <c r="S145" i="5" s="1"/>
  <c r="K139" i="5"/>
  <c r="K145" i="5"/>
  <c r="J144" i="5"/>
  <c r="K144" i="5"/>
  <c r="J139" i="5"/>
  <c r="O146" i="5"/>
  <c r="S146" i="5" s="1"/>
  <c r="J146" i="5"/>
  <c r="K146" i="5"/>
  <c r="O142" i="5"/>
  <c r="S142" i="5" s="1"/>
  <c r="J142" i="5"/>
  <c r="K142" i="5"/>
  <c r="Q8" i="5"/>
  <c r="S84" i="5"/>
  <c r="O135" i="5"/>
  <c r="Q135" i="5" s="1"/>
  <c r="Q10" i="5"/>
  <c r="O29" i="5"/>
  <c r="S29" i="5" s="1"/>
  <c r="Q16" i="5"/>
  <c r="O117" i="5"/>
  <c r="Q117" i="5" s="1"/>
  <c r="S10" i="5"/>
  <c r="S14" i="5"/>
  <c r="P100" i="5"/>
  <c r="R131" i="5"/>
  <c r="O71" i="5"/>
  <c r="S71" i="5" s="1"/>
  <c r="J31" i="5"/>
  <c r="S40" i="5"/>
  <c r="K13" i="5"/>
  <c r="K116" i="5"/>
  <c r="R127" i="5"/>
  <c r="Q29" i="5"/>
  <c r="O73" i="5"/>
  <c r="S73" i="5" s="1"/>
  <c r="O12" i="5"/>
  <c r="S12" i="5" s="1"/>
  <c r="N35" i="5"/>
  <c r="R35" i="5" s="1"/>
  <c r="E35" i="16" s="1"/>
  <c r="O134" i="5"/>
  <c r="Q134" i="5" s="1"/>
  <c r="Q130" i="5"/>
  <c r="Q11" i="5"/>
  <c r="P84" i="5"/>
  <c r="O124" i="5"/>
  <c r="Q124" i="5" s="1"/>
  <c r="R124" i="5"/>
  <c r="Q56" i="5"/>
  <c r="Q51" i="5"/>
  <c r="P106" i="5"/>
  <c r="S57" i="5"/>
  <c r="F59" i="16" s="1"/>
  <c r="S11" i="5"/>
  <c r="P40" i="5"/>
  <c r="K57" i="5"/>
  <c r="O119" i="5"/>
  <c r="Q119" i="5" s="1"/>
  <c r="R106" i="5"/>
  <c r="Q71" i="5"/>
  <c r="Q12" i="5"/>
  <c r="Q37" i="5"/>
  <c r="K11" i="5"/>
  <c r="S17" i="5"/>
  <c r="S98" i="5"/>
  <c r="Q35" i="5"/>
  <c r="S138" i="5"/>
  <c r="O8" i="5"/>
  <c r="S8" i="5" s="1"/>
  <c r="K58" i="5"/>
  <c r="Q38" i="5"/>
  <c r="R97" i="5"/>
  <c r="Q18" i="5"/>
  <c r="O30" i="5"/>
  <c r="S30" i="5" s="1"/>
  <c r="F30" i="16" s="1"/>
  <c r="R101" i="5"/>
  <c r="Q121" i="5"/>
  <c r="K100" i="5"/>
  <c r="R37" i="5"/>
  <c r="E37" i="16" s="1"/>
  <c r="S13" i="5"/>
  <c r="Q13" i="5"/>
  <c r="O38" i="5"/>
  <c r="S38" i="5" s="1"/>
  <c r="F38" i="16" s="1"/>
  <c r="O15" i="5"/>
  <c r="S15" i="5" s="1"/>
  <c r="K99" i="5"/>
  <c r="K125" i="5"/>
  <c r="K121" i="5"/>
  <c r="P53" i="5"/>
  <c r="O36" i="5"/>
  <c r="S36" i="5" s="1"/>
  <c r="F36" i="16" s="1"/>
  <c r="O52" i="5"/>
  <c r="S52" i="5" s="1"/>
  <c r="F54" i="16" s="1"/>
  <c r="O120" i="5"/>
  <c r="Q120" i="5" s="1"/>
  <c r="R128" i="5"/>
  <c r="N96" i="5"/>
  <c r="P96" i="5" s="1"/>
  <c r="Q32" i="5"/>
  <c r="J127" i="5"/>
  <c r="N33" i="5"/>
  <c r="R33" i="5" s="1"/>
  <c r="E33" i="16" s="1"/>
  <c r="J133" i="5"/>
  <c r="N133" i="5" s="1"/>
  <c r="P133" i="5" s="1"/>
  <c r="Q116" i="5"/>
  <c r="S102" i="5"/>
  <c r="Q33" i="5"/>
  <c r="O128" i="5"/>
  <c r="Q128" i="5" s="1"/>
  <c r="S99" i="5"/>
  <c r="K72" i="5"/>
  <c r="Q58" i="5"/>
  <c r="S72" i="5"/>
  <c r="J84" i="5"/>
  <c r="N84" i="5" s="1"/>
  <c r="R84" i="5" s="1"/>
  <c r="S58" i="5"/>
  <c r="F60" i="16" s="1"/>
  <c r="Q31" i="5"/>
  <c r="O118" i="5"/>
  <c r="Q118" i="5" s="1"/>
  <c r="S122" i="5"/>
  <c r="R123" i="5"/>
  <c r="J37" i="5"/>
  <c r="O132" i="5"/>
  <c r="Q132" i="5" s="1"/>
  <c r="R118" i="5"/>
  <c r="K10" i="5"/>
  <c r="Q129" i="5"/>
  <c r="O136" i="5"/>
  <c r="Q136" i="5" s="1"/>
  <c r="R82" i="5"/>
  <c r="O18" i="5"/>
  <c r="S18" i="5" s="1"/>
  <c r="F17" i="16" s="1"/>
  <c r="Q34" i="5"/>
  <c r="Q122" i="5"/>
  <c r="O123" i="5"/>
  <c r="Q123" i="5" s="1"/>
  <c r="P9" i="5"/>
  <c r="K109" i="11"/>
  <c r="P101" i="5"/>
  <c r="P36" i="5"/>
  <c r="Q55" i="5"/>
  <c r="R95" i="5"/>
  <c r="F147" i="5"/>
  <c r="Q125" i="5"/>
  <c r="G147" i="5"/>
  <c r="S9" i="5"/>
  <c r="K70" i="11"/>
  <c r="K9" i="5"/>
  <c r="R125" i="5"/>
  <c r="N39" i="5"/>
  <c r="R39" i="5" s="1"/>
  <c r="Q15" i="5"/>
  <c r="Q39" i="5"/>
  <c r="J101" i="5"/>
  <c r="K50" i="11"/>
  <c r="J121" i="5"/>
  <c r="Q74" i="5"/>
  <c r="J120" i="5"/>
  <c r="N120" i="5" s="1"/>
  <c r="P120" i="5" s="1"/>
  <c r="R117" i="5"/>
  <c r="K104" i="11"/>
  <c r="Q137" i="5"/>
  <c r="R137" i="5"/>
  <c r="J50" i="5"/>
  <c r="L98" i="11"/>
  <c r="Q126" i="5"/>
  <c r="K66" i="11"/>
  <c r="S129" i="5"/>
  <c r="R129" i="5"/>
  <c r="O50" i="5"/>
  <c r="S50" i="5" s="1"/>
  <c r="F52" i="16" s="1"/>
  <c r="K50" i="5"/>
  <c r="S119" i="5"/>
  <c r="R119" i="5"/>
  <c r="K51" i="5"/>
  <c r="O51" i="5"/>
  <c r="S51" i="5" s="1"/>
  <c r="F53" i="16" s="1"/>
  <c r="N102" i="5"/>
  <c r="P102" i="5" s="1"/>
  <c r="J102" i="5"/>
  <c r="R116" i="5"/>
  <c r="S116" i="5"/>
  <c r="K138" i="5"/>
  <c r="O138" i="5"/>
  <c r="Q138" i="5" s="1"/>
  <c r="K127" i="5"/>
  <c r="O127" i="5"/>
  <c r="Q127" i="5" s="1"/>
  <c r="S34" i="5"/>
  <c r="F34" i="16" s="1"/>
  <c r="K116" i="11"/>
  <c r="K74" i="5"/>
  <c r="O74" i="5"/>
  <c r="S74" i="5" s="1"/>
  <c r="J97" i="5"/>
  <c r="N97" i="5"/>
  <c r="P97" i="5" s="1"/>
  <c r="S96" i="5"/>
  <c r="R96" i="5"/>
  <c r="J99" i="5"/>
  <c r="N99" i="5"/>
  <c r="P99" i="5" s="1"/>
  <c r="O131" i="5"/>
  <c r="Q131" i="5" s="1"/>
  <c r="K131" i="5"/>
  <c r="R134" i="5"/>
  <c r="S134" i="5"/>
  <c r="Q52" i="5"/>
  <c r="P52" i="5"/>
  <c r="K53" i="5"/>
  <c r="O53" i="5"/>
  <c r="S53" i="5" s="1"/>
  <c r="F55" i="16" s="1"/>
  <c r="J95" i="5"/>
  <c r="N95" i="5"/>
  <c r="P95" i="5" s="1"/>
  <c r="S132" i="5"/>
  <c r="R132" i="5"/>
  <c r="L97" i="11"/>
  <c r="R133" i="5"/>
  <c r="S133" i="5"/>
  <c r="K54" i="5"/>
  <c r="O54" i="5"/>
  <c r="S54" i="5" s="1"/>
  <c r="F56" i="16" s="1"/>
  <c r="J94" i="5"/>
  <c r="N94" i="5"/>
  <c r="P94" i="5" s="1"/>
  <c r="Q54" i="5"/>
  <c r="P54" i="5"/>
  <c r="S100" i="5"/>
  <c r="R100" i="5"/>
  <c r="N98" i="5"/>
  <c r="P98" i="5" s="1"/>
  <c r="J98" i="5"/>
  <c r="J105" i="5"/>
  <c r="N105" i="5"/>
  <c r="P105" i="5" s="1"/>
  <c r="S126" i="5"/>
  <c r="R126" i="5"/>
  <c r="S135" i="5"/>
  <c r="R135" i="5"/>
  <c r="Q72" i="5"/>
  <c r="P72" i="5"/>
  <c r="K56" i="5"/>
  <c r="O56" i="5"/>
  <c r="S56" i="5" s="1"/>
  <c r="F58" i="16" s="1"/>
  <c r="K83" i="5"/>
  <c r="O83" i="5"/>
  <c r="S83" i="5" s="1"/>
  <c r="S120" i="5"/>
  <c r="R120" i="5"/>
  <c r="Q50" i="5"/>
  <c r="P50" i="5"/>
  <c r="K55" i="5"/>
  <c r="O55" i="5"/>
  <c r="S55" i="5" s="1"/>
  <c r="F57" i="16" s="1"/>
  <c r="Q82" i="5"/>
  <c r="P82" i="5"/>
  <c r="K122" i="11"/>
  <c r="K90" i="11"/>
  <c r="K89" i="11"/>
  <c r="K23" i="11"/>
  <c r="K51" i="11"/>
  <c r="K49" i="11"/>
  <c r="K30" i="11"/>
  <c r="K105" i="5"/>
  <c r="L105" i="11"/>
  <c r="K62" i="11"/>
  <c r="K103" i="11"/>
  <c r="K129" i="11"/>
  <c r="K117" i="11"/>
  <c r="J134" i="5"/>
  <c r="N134" i="5" s="1"/>
  <c r="P134" i="5" s="1"/>
  <c r="K54" i="11"/>
  <c r="K60" i="11"/>
  <c r="K139" i="11"/>
  <c r="K108" i="11"/>
  <c r="J126" i="5"/>
  <c r="K134" i="11"/>
  <c r="K56" i="11"/>
  <c r="J130" i="5"/>
  <c r="N130" i="5" s="1"/>
  <c r="P130" i="5" s="1"/>
  <c r="K31" i="5"/>
  <c r="K110" i="11"/>
  <c r="K130" i="11"/>
  <c r="L99" i="11"/>
  <c r="K36" i="11"/>
  <c r="K113" i="11"/>
  <c r="L96" i="11"/>
  <c r="K146" i="11"/>
  <c r="K38" i="11"/>
  <c r="K67" i="11"/>
  <c r="J13" i="5"/>
  <c r="K25" i="11"/>
  <c r="K19" i="11"/>
  <c r="J9" i="5"/>
  <c r="K74" i="11"/>
  <c r="K33" i="5"/>
  <c r="K112" i="11"/>
  <c r="J136" i="5"/>
  <c r="N136" i="5" s="1"/>
  <c r="P136" i="5" s="1"/>
  <c r="L95" i="11"/>
  <c r="L82" i="11"/>
  <c r="K72" i="11"/>
  <c r="J30" i="5"/>
  <c r="K22" i="11"/>
  <c r="J51" i="5"/>
  <c r="K137" i="11"/>
  <c r="K28" i="11"/>
  <c r="J117" i="5"/>
  <c r="N117" i="5" s="1"/>
  <c r="P117" i="5" s="1"/>
  <c r="K125" i="11"/>
  <c r="K77" i="11"/>
  <c r="K21" i="11"/>
  <c r="K48" i="11"/>
  <c r="J116" i="5"/>
  <c r="J10" i="5"/>
  <c r="L101" i="11"/>
  <c r="K24" i="11"/>
  <c r="K61" i="11"/>
  <c r="K136" i="11"/>
  <c r="K59" i="11"/>
  <c r="K43" i="11"/>
  <c r="K114" i="11"/>
  <c r="L102" i="11"/>
  <c r="L35" i="11"/>
  <c r="J128" i="5"/>
  <c r="N128" i="5" s="1"/>
  <c r="P128" i="5" s="1"/>
  <c r="K119" i="11"/>
  <c r="K73" i="11"/>
  <c r="K42" i="11"/>
  <c r="K44" i="11"/>
  <c r="K45" i="11"/>
  <c r="J124" i="5"/>
  <c r="N124" i="5" s="1"/>
  <c r="P124" i="5" s="1"/>
  <c r="L39" i="11"/>
  <c r="K79" i="11"/>
  <c r="K91" i="11"/>
  <c r="K68" i="11"/>
  <c r="K135" i="11"/>
  <c r="K87" i="11"/>
  <c r="K58" i="11"/>
  <c r="J72" i="5"/>
  <c r="J137" i="5"/>
  <c r="N137" i="5" s="1"/>
  <c r="P137" i="5" s="1"/>
  <c r="K101" i="5"/>
  <c r="K126" i="11"/>
  <c r="J55" i="5"/>
  <c r="K124" i="11"/>
  <c r="K115" i="11"/>
  <c r="J129" i="5"/>
  <c r="N129" i="5" s="1"/>
  <c r="P129" i="5" s="1"/>
  <c r="L33" i="11"/>
  <c r="K143" i="11"/>
  <c r="K118" i="11"/>
  <c r="J16" i="5"/>
  <c r="N16" i="5" s="1"/>
  <c r="R16" i="5" s="1"/>
  <c r="J54" i="5"/>
  <c r="J29" i="5"/>
  <c r="N29" i="5" s="1"/>
  <c r="R29" i="5" s="1"/>
  <c r="J17" i="5"/>
  <c r="N17" i="5" s="1"/>
  <c r="R17" i="5" s="1"/>
  <c r="K92" i="11"/>
  <c r="K132" i="11"/>
  <c r="J74" i="5"/>
  <c r="K102" i="5"/>
  <c r="K20" i="11"/>
  <c r="J53" i="5"/>
  <c r="K35" i="5"/>
  <c r="O35" i="5" s="1"/>
  <c r="S35" i="5" s="1"/>
  <c r="F35" i="16" s="1"/>
  <c r="G35" i="16" s="1"/>
  <c r="J122" i="5"/>
  <c r="N122" i="5" s="1"/>
  <c r="P122" i="5" s="1"/>
  <c r="K85" i="11"/>
  <c r="J138" i="5"/>
  <c r="K32" i="11"/>
  <c r="K40" i="11"/>
  <c r="K84" i="11"/>
  <c r="K41" i="11"/>
  <c r="J52" i="5"/>
  <c r="N52" i="5" s="1"/>
  <c r="R52" i="5" s="1"/>
  <c r="E54" i="16" s="1"/>
  <c r="G54" i="16" s="1"/>
  <c r="K39" i="5"/>
  <c r="O39" i="5" s="1"/>
  <c r="S39" i="5" s="1"/>
  <c r="K144" i="11"/>
  <c r="K71" i="11"/>
  <c r="K63" i="11"/>
  <c r="K111" i="11"/>
  <c r="J131" i="5"/>
  <c r="J132" i="5"/>
  <c r="N132" i="5" s="1"/>
  <c r="P132" i="5" s="1"/>
  <c r="K145" i="11"/>
  <c r="K94" i="5"/>
  <c r="J73" i="5"/>
  <c r="N73" i="5" s="1"/>
  <c r="R73" i="5" s="1"/>
  <c r="K55" i="11"/>
  <c r="K57" i="11"/>
  <c r="K69" i="11"/>
  <c r="K106" i="5"/>
  <c r="O106" i="5" s="1"/>
  <c r="Q106" i="5" s="1"/>
  <c r="K53" i="11"/>
  <c r="J8" i="5"/>
  <c r="N8" i="5" s="1"/>
  <c r="R8" i="5" s="1"/>
  <c r="J123" i="5"/>
  <c r="N123" i="5" s="1"/>
  <c r="P123" i="5" s="1"/>
  <c r="K93" i="11"/>
  <c r="L31" i="11"/>
  <c r="K81" i="11"/>
  <c r="K95" i="5"/>
  <c r="K83" i="11"/>
  <c r="K142" i="11"/>
  <c r="L37" i="11"/>
  <c r="K80" i="11"/>
  <c r="L106" i="11"/>
  <c r="K64" i="11"/>
  <c r="K37" i="5"/>
  <c r="K140" i="11"/>
  <c r="K65" i="11"/>
  <c r="K138" i="11"/>
  <c r="K47" i="11"/>
  <c r="K52" i="11"/>
  <c r="K141" i="11"/>
  <c r="J125" i="5"/>
  <c r="K26" i="11"/>
  <c r="L94" i="11"/>
  <c r="J135" i="5"/>
  <c r="N135" i="5" s="1"/>
  <c r="P135" i="5" s="1"/>
  <c r="K128" i="11"/>
  <c r="J15" i="5"/>
  <c r="N15" i="5" s="1"/>
  <c r="R15" i="5" s="1"/>
  <c r="K98" i="5"/>
  <c r="K123" i="11"/>
  <c r="L100" i="11"/>
  <c r="K121" i="11"/>
  <c r="J36" i="5"/>
  <c r="N36" i="5" s="1"/>
  <c r="R36" i="5" s="1"/>
  <c r="E36" i="16" s="1"/>
  <c r="K133" i="11"/>
  <c r="J14" i="5"/>
  <c r="K96" i="5"/>
  <c r="O96" i="5" s="1"/>
  <c r="Q96" i="5" s="1"/>
  <c r="K131" i="11"/>
  <c r="K27" i="11"/>
  <c r="K107" i="11"/>
  <c r="K86" i="11"/>
  <c r="K75" i="11"/>
  <c r="K120" i="11"/>
  <c r="K76" i="11"/>
  <c r="J34" i="5"/>
  <c r="N34" i="5" s="1"/>
  <c r="R34" i="5" s="1"/>
  <c r="E34" i="16" s="1"/>
  <c r="K127" i="11"/>
  <c r="J118" i="5"/>
  <c r="N118" i="5" s="1"/>
  <c r="P118" i="5" s="1"/>
  <c r="J11" i="5"/>
  <c r="J58" i="5"/>
  <c r="K34" i="11"/>
  <c r="K78" i="11"/>
  <c r="J12" i="5"/>
  <c r="N12" i="5" s="1"/>
  <c r="R12" i="5" s="1"/>
  <c r="J83" i="5"/>
  <c r="J71" i="5"/>
  <c r="N71" i="5" s="1"/>
  <c r="R71" i="5" s="1"/>
  <c r="K46" i="11"/>
  <c r="J119" i="5"/>
  <c r="N119" i="5" s="1"/>
  <c r="P119" i="5" s="1"/>
  <c r="J18" i="5"/>
  <c r="N18" i="5" s="1"/>
  <c r="R18" i="5" s="1"/>
  <c r="E17" i="16" s="1"/>
  <c r="J57" i="5"/>
  <c r="J32" i="5"/>
  <c r="N32" i="5" s="1"/>
  <c r="R32" i="5" s="1"/>
  <c r="E32" i="16" s="1"/>
  <c r="K29" i="11"/>
  <c r="K82" i="5"/>
  <c r="O82" i="5" s="1"/>
  <c r="S82" i="5" s="1"/>
  <c r="J38" i="5"/>
  <c r="N38" i="5" s="1"/>
  <c r="R38" i="5" s="1"/>
  <c r="K88" i="11"/>
  <c r="J56" i="5"/>
  <c r="K97" i="5"/>
  <c r="J40" i="5"/>
  <c r="I147" i="5"/>
  <c r="H147" i="5"/>
  <c r="C39" i="19"/>
  <c r="C43" i="19"/>
  <c r="C40" i="19"/>
  <c r="C41" i="19"/>
  <c r="C42" i="19"/>
  <c r="C33" i="19"/>
  <c r="C32" i="19"/>
  <c r="C31" i="19"/>
  <c r="C38" i="19"/>
  <c r="C34" i="19"/>
  <c r="C35" i="19"/>
  <c r="C36" i="19"/>
  <c r="C37" i="19"/>
  <c r="C17" i="19"/>
  <c r="C20" i="19"/>
  <c r="C26" i="19"/>
  <c r="C21" i="19"/>
  <c r="C28" i="19"/>
  <c r="C22" i="19"/>
  <c r="C16" i="19"/>
  <c r="C27" i="19"/>
  <c r="C29" i="19"/>
  <c r="C25" i="19"/>
  <c r="C30" i="19"/>
  <c r="C13" i="19"/>
  <c r="C18" i="19"/>
  <c r="C24" i="19"/>
  <c r="C23" i="19"/>
  <c r="C19" i="19"/>
  <c r="C14" i="19"/>
  <c r="C15" i="19"/>
  <c r="C9" i="19"/>
  <c r="C11" i="19"/>
  <c r="C8" i="19"/>
  <c r="C12" i="19"/>
  <c r="C10" i="19"/>
  <c r="B7" i="19"/>
  <c r="B2" i="22"/>
  <c r="B5" i="14"/>
  <c r="B5" i="24" s="1"/>
  <c r="B5" i="25"/>
  <c r="H147" i="11"/>
  <c r="G147" i="11"/>
  <c r="L95" i="2"/>
  <c r="M95" i="2"/>
  <c r="B5" i="18"/>
  <c r="B5" i="19"/>
  <c r="C5" i="11"/>
  <c r="D6" i="3" s="1"/>
  <c r="B5" i="16"/>
  <c r="H29" i="10"/>
  <c r="B7" i="16"/>
  <c r="B4" i="5"/>
  <c r="B4" i="18" s="1"/>
  <c r="B2" i="5"/>
  <c r="I30" i="10"/>
  <c r="H34" i="10"/>
  <c r="I36" i="10"/>
  <c r="H37" i="10"/>
  <c r="H40" i="10"/>
  <c r="I40" i="10"/>
  <c r="G30" i="10"/>
  <c r="H30" i="10" s="1"/>
  <c r="G31" i="10"/>
  <c r="H31" i="10" s="1"/>
  <c r="G32" i="10"/>
  <c r="H32" i="10" s="1"/>
  <c r="G33" i="10"/>
  <c r="I33" i="10" s="1"/>
  <c r="G34" i="10"/>
  <c r="I34" i="10" s="1"/>
  <c r="G35" i="10"/>
  <c r="H35" i="10" s="1"/>
  <c r="G36" i="10"/>
  <c r="H36" i="10" s="1"/>
  <c r="G37" i="10"/>
  <c r="I37" i="10" s="1"/>
  <c r="G38" i="10"/>
  <c r="H38" i="10" s="1"/>
  <c r="G39" i="10"/>
  <c r="H39" i="10" s="1"/>
  <c r="G40" i="10"/>
  <c r="G41" i="10"/>
  <c r="I41" i="10" s="1"/>
  <c r="G42" i="10"/>
  <c r="H42" i="10" s="1"/>
  <c r="F7" i="10"/>
  <c r="F8" i="10"/>
  <c r="D12" i="9"/>
  <c r="E14" i="9"/>
  <c r="E8" i="9"/>
  <c r="D8" i="9"/>
  <c r="F73" i="16" l="1"/>
  <c r="G63" i="16"/>
  <c r="G23" i="16"/>
  <c r="N46" i="5"/>
  <c r="R46" i="5" s="1"/>
  <c r="E46" i="16" s="1"/>
  <c r="G46" i="16" s="1"/>
  <c r="N40" i="5"/>
  <c r="R40" i="5" s="1"/>
  <c r="E40" i="16" s="1"/>
  <c r="G72" i="16"/>
  <c r="G18" i="16"/>
  <c r="F42" i="16"/>
  <c r="F77" i="16"/>
  <c r="F41" i="16"/>
  <c r="F76" i="16"/>
  <c r="F43" i="16"/>
  <c r="F78" i="16"/>
  <c r="G27" i="16"/>
  <c r="G32" i="16"/>
  <c r="G71" i="16"/>
  <c r="O33" i="5"/>
  <c r="S33" i="5" s="1"/>
  <c r="F33" i="16" s="1"/>
  <c r="G33" i="16" s="1"/>
  <c r="G36" i="16"/>
  <c r="E74" i="16"/>
  <c r="E39" i="16"/>
  <c r="F40" i="16"/>
  <c r="F75" i="16"/>
  <c r="G65" i="16"/>
  <c r="G19" i="16"/>
  <c r="G34" i="16"/>
  <c r="N30" i="5"/>
  <c r="R30" i="5" s="1"/>
  <c r="E30" i="16" s="1"/>
  <c r="G30" i="16" s="1"/>
  <c r="G26" i="16"/>
  <c r="G17" i="16"/>
  <c r="E48" i="16"/>
  <c r="G48" i="16" s="1"/>
  <c r="E47" i="16"/>
  <c r="G47" i="16" s="1"/>
  <c r="E45" i="16"/>
  <c r="G45" i="16" s="1"/>
  <c r="E49" i="16"/>
  <c r="G49" i="16" s="1"/>
  <c r="E43" i="16"/>
  <c r="E78" i="16"/>
  <c r="E38" i="16"/>
  <c r="G38" i="16" s="1"/>
  <c r="F39" i="16"/>
  <c r="F74" i="16"/>
  <c r="N25" i="5"/>
  <c r="R25" i="5" s="1"/>
  <c r="E24" i="16" s="1"/>
  <c r="G24" i="16" s="1"/>
  <c r="O100" i="5"/>
  <c r="Q100" i="5" s="1"/>
  <c r="N80" i="5"/>
  <c r="R80" i="5" s="1"/>
  <c r="E83" i="16" s="1"/>
  <c r="G83" i="16" s="1"/>
  <c r="N115" i="5"/>
  <c r="R115" i="5" s="1"/>
  <c r="N67" i="5"/>
  <c r="R67" i="5" s="1"/>
  <c r="E69" i="16" s="1"/>
  <c r="G69" i="16" s="1"/>
  <c r="N78" i="5"/>
  <c r="R78" i="5" s="1"/>
  <c r="E81" i="16" s="1"/>
  <c r="G81" i="16" s="1"/>
  <c r="N126" i="5"/>
  <c r="P126" i="5" s="1"/>
  <c r="N112" i="5"/>
  <c r="R112" i="5" s="1"/>
  <c r="N64" i="5"/>
  <c r="R64" i="5" s="1"/>
  <c r="E66" i="16" s="1"/>
  <c r="G66" i="16" s="1"/>
  <c r="N76" i="5"/>
  <c r="R76" i="5" s="1"/>
  <c r="E79" i="16" s="1"/>
  <c r="G79" i="16" s="1"/>
  <c r="N62" i="5"/>
  <c r="R62" i="5" s="1"/>
  <c r="E64" i="16" s="1"/>
  <c r="G64" i="16" s="1"/>
  <c r="N22" i="5"/>
  <c r="R22" i="5" s="1"/>
  <c r="E21" i="16" s="1"/>
  <c r="G21" i="16" s="1"/>
  <c r="N59" i="5"/>
  <c r="R59" i="5" s="1"/>
  <c r="E61" i="16" s="1"/>
  <c r="G61" i="16" s="1"/>
  <c r="N42" i="5"/>
  <c r="R42" i="5" s="1"/>
  <c r="N93" i="5"/>
  <c r="R93" i="5" s="1"/>
  <c r="N140" i="5"/>
  <c r="R140" i="5" s="1"/>
  <c r="N81" i="5"/>
  <c r="R81" i="5" s="1"/>
  <c r="E84" i="16" s="1"/>
  <c r="G84" i="16" s="1"/>
  <c r="N79" i="5"/>
  <c r="R79" i="5" s="1"/>
  <c r="E82" i="16" s="1"/>
  <c r="G82" i="16" s="1"/>
  <c r="N44" i="5"/>
  <c r="R44" i="5" s="1"/>
  <c r="N41" i="5"/>
  <c r="R41" i="5" s="1"/>
  <c r="N68" i="5"/>
  <c r="R68" i="5" s="1"/>
  <c r="E70" i="16" s="1"/>
  <c r="G70" i="16" s="1"/>
  <c r="N89" i="5"/>
  <c r="R89" i="5" s="1"/>
  <c r="N60" i="5"/>
  <c r="R60" i="5" s="1"/>
  <c r="E62" i="16" s="1"/>
  <c r="G62" i="16" s="1"/>
  <c r="N66" i="5"/>
  <c r="R66" i="5" s="1"/>
  <c r="E68" i="16" s="1"/>
  <c r="G68" i="16" s="1"/>
  <c r="N92" i="5"/>
  <c r="R92" i="5" s="1"/>
  <c r="N86" i="5"/>
  <c r="R86" i="5" s="1"/>
  <c r="N14" i="5"/>
  <c r="R14" i="5" s="1"/>
  <c r="N88" i="5"/>
  <c r="R88" i="5" s="1"/>
  <c r="N113" i="5"/>
  <c r="R113" i="5" s="1"/>
  <c r="N110" i="5"/>
  <c r="R110" i="5" s="1"/>
  <c r="N145" i="5"/>
  <c r="R145" i="5" s="1"/>
  <c r="N107" i="5"/>
  <c r="R107" i="5" s="1"/>
  <c r="N146" i="5"/>
  <c r="R146" i="5" s="1"/>
  <c r="N143" i="5"/>
  <c r="R143" i="5" s="1"/>
  <c r="N139" i="5"/>
  <c r="R139" i="5" s="1"/>
  <c r="N144" i="5"/>
  <c r="R144" i="5" s="1"/>
  <c r="N142" i="5"/>
  <c r="R142" i="5" s="1"/>
  <c r="N116" i="5"/>
  <c r="P116" i="5" s="1"/>
  <c r="O31" i="5"/>
  <c r="S31" i="5" s="1"/>
  <c r="F31" i="16" s="1"/>
  <c r="N57" i="5"/>
  <c r="R57" i="5" s="1"/>
  <c r="E59" i="16" s="1"/>
  <c r="G59" i="16" s="1"/>
  <c r="N13" i="5"/>
  <c r="R13" i="5" s="1"/>
  <c r="N11" i="5"/>
  <c r="R11" i="5" s="1"/>
  <c r="O99" i="5"/>
  <c r="Q99" i="5" s="1"/>
  <c r="N58" i="5"/>
  <c r="R58" i="5" s="1"/>
  <c r="E60" i="16" s="1"/>
  <c r="G60" i="16" s="1"/>
  <c r="N127" i="5"/>
  <c r="P127" i="5" s="1"/>
  <c r="N125" i="5"/>
  <c r="P125" i="5" s="1"/>
  <c r="N10" i="5"/>
  <c r="R10" i="5" s="1"/>
  <c r="N121" i="5"/>
  <c r="P121" i="5" s="1"/>
  <c r="N72" i="5"/>
  <c r="R72" i="5" s="1"/>
  <c r="E75" i="16" s="1"/>
  <c r="O37" i="5"/>
  <c r="S37" i="5" s="1"/>
  <c r="F37" i="16" s="1"/>
  <c r="G37" i="16" s="1"/>
  <c r="N83" i="5"/>
  <c r="R83" i="5" s="1"/>
  <c r="O95" i="5"/>
  <c r="Q95" i="5" s="1"/>
  <c r="N54" i="5"/>
  <c r="R54" i="5" s="1"/>
  <c r="E56" i="16" s="1"/>
  <c r="G56" i="16" s="1"/>
  <c r="N131" i="5"/>
  <c r="P131" i="5" s="1"/>
  <c r="N50" i="5"/>
  <c r="R50" i="5" s="1"/>
  <c r="E52" i="16" s="1"/>
  <c r="O101" i="5"/>
  <c r="Q101" i="5" s="1"/>
  <c r="N74" i="5"/>
  <c r="R74" i="5" s="1"/>
  <c r="N9" i="5"/>
  <c r="N55" i="5"/>
  <c r="R55" i="5" s="1"/>
  <c r="E57" i="16" s="1"/>
  <c r="G57" i="16" s="1"/>
  <c r="O98" i="5"/>
  <c r="Q98" i="5" s="1"/>
  <c r="O102" i="5"/>
  <c r="Q102" i="5" s="1"/>
  <c r="N51" i="5"/>
  <c r="R51" i="5" s="1"/>
  <c r="E53" i="16" s="1"/>
  <c r="G53" i="16" s="1"/>
  <c r="O105" i="5"/>
  <c r="Q105" i="5" s="1"/>
  <c r="O97" i="5"/>
  <c r="Q97" i="5" s="1"/>
  <c r="N56" i="5"/>
  <c r="R56" i="5" s="1"/>
  <c r="E58" i="16" s="1"/>
  <c r="G58" i="16" s="1"/>
  <c r="O94" i="5"/>
  <c r="Q94" i="5" s="1"/>
  <c r="N53" i="5"/>
  <c r="R53" i="5" s="1"/>
  <c r="E55" i="16" s="1"/>
  <c r="G55" i="16" s="1"/>
  <c r="N138" i="5"/>
  <c r="P138" i="5" s="1"/>
  <c r="E53" i="25" s="1"/>
  <c r="K147" i="5"/>
  <c r="J147" i="5"/>
  <c r="C57" i="25"/>
  <c r="A57" i="25" s="1"/>
  <c r="D57" i="25"/>
  <c r="E57" i="25"/>
  <c r="C55" i="25"/>
  <c r="A55" i="25" s="1"/>
  <c r="E56" i="25"/>
  <c r="D55" i="25"/>
  <c r="D60" i="25"/>
  <c r="E55" i="25"/>
  <c r="E60" i="25"/>
  <c r="D56" i="25"/>
  <c r="D61" i="25"/>
  <c r="F53" i="25"/>
  <c r="D59" i="25"/>
  <c r="E54" i="25"/>
  <c r="F57" i="25"/>
  <c r="C53" i="25"/>
  <c r="A53" i="25" s="1"/>
  <c r="D54" i="25"/>
  <c r="F61" i="25"/>
  <c r="C59" i="25"/>
  <c r="A59" i="25" s="1"/>
  <c r="C56" i="25"/>
  <c r="A56" i="25" s="1"/>
  <c r="E58" i="25"/>
  <c r="C60" i="25"/>
  <c r="A60" i="25" s="1"/>
  <c r="E61" i="25"/>
  <c r="F59" i="25"/>
  <c r="D58" i="25"/>
  <c r="F55" i="25"/>
  <c r="C58" i="25"/>
  <c r="A58" i="25" s="1"/>
  <c r="C54" i="25"/>
  <c r="A54" i="25" s="1"/>
  <c r="F60" i="25"/>
  <c r="F54" i="25"/>
  <c r="C61" i="25"/>
  <c r="A61" i="25" s="1"/>
  <c r="F58" i="25"/>
  <c r="D53" i="25"/>
  <c r="E59" i="25"/>
  <c r="F56" i="25"/>
  <c r="C27" i="25"/>
  <c r="A27" i="25" s="1"/>
  <c r="C23" i="25"/>
  <c r="A23" i="25" s="1"/>
  <c r="D24" i="25"/>
  <c r="D27" i="25"/>
  <c r="D23" i="25"/>
  <c r="C22" i="25"/>
  <c r="A22" i="25" s="1"/>
  <c r="F25" i="25"/>
  <c r="F27" i="25"/>
  <c r="F23" i="25"/>
  <c r="D22" i="25"/>
  <c r="F26" i="25"/>
  <c r="C21" i="25"/>
  <c r="A21" i="25" s="1"/>
  <c r="D19" i="25"/>
  <c r="C26" i="25"/>
  <c r="A26" i="25" s="1"/>
  <c r="F21" i="25"/>
  <c r="C20" i="25"/>
  <c r="A20" i="25" s="1"/>
  <c r="D18" i="25"/>
  <c r="D26" i="25"/>
  <c r="D21" i="25"/>
  <c r="D20" i="25"/>
  <c r="F24" i="25"/>
  <c r="C19" i="25"/>
  <c r="A19" i="25" s="1"/>
  <c r="C24" i="25"/>
  <c r="A24" i="25" s="1"/>
  <c r="F19" i="25"/>
  <c r="C28" i="25"/>
  <c r="A28" i="25" s="1"/>
  <c r="C18" i="25"/>
  <c r="A18" i="25" s="1"/>
  <c r="F28" i="25"/>
  <c r="C25" i="25"/>
  <c r="A25" i="25" s="1"/>
  <c r="D28" i="25"/>
  <c r="D25" i="25"/>
  <c r="F22" i="25"/>
  <c r="F50" i="25"/>
  <c r="E21" i="18"/>
  <c r="F8" i="18"/>
  <c r="E32" i="18"/>
  <c r="E37" i="18"/>
  <c r="E33" i="18"/>
  <c r="E22" i="18"/>
  <c r="E34" i="18"/>
  <c r="E23" i="18"/>
  <c r="E35" i="18"/>
  <c r="E24" i="18"/>
  <c r="F36" i="18"/>
  <c r="E25" i="18"/>
  <c r="E26" i="18"/>
  <c r="E39" i="18"/>
  <c r="E27" i="18"/>
  <c r="E28" i="18"/>
  <c r="E40" i="18"/>
  <c r="E41" i="18"/>
  <c r="E29" i="18"/>
  <c r="E30" i="18"/>
  <c r="E20" i="18"/>
  <c r="E31" i="18"/>
  <c r="I42" i="10"/>
  <c r="H41" i="10"/>
  <c r="F7" i="18"/>
  <c r="I39" i="10"/>
  <c r="D14" i="9"/>
  <c r="D20" i="9" s="1"/>
  <c r="F23" i="19"/>
  <c r="C15" i="16"/>
  <c r="A15" i="16" s="1"/>
  <c r="D35" i="19"/>
  <c r="D23" i="19"/>
  <c r="D27" i="19"/>
  <c r="D39" i="19"/>
  <c r="D25" i="19"/>
  <c r="D43" i="19"/>
  <c r="D33" i="19"/>
  <c r="D32" i="19"/>
  <c r="D26" i="19"/>
  <c r="D40" i="19"/>
  <c r="D38" i="19"/>
  <c r="D29" i="19"/>
  <c r="D22" i="19"/>
  <c r="D34" i="19"/>
  <c r="D42" i="19"/>
  <c r="D37" i="19"/>
  <c r="C29" i="16"/>
  <c r="A29" i="16" s="1"/>
  <c r="D29" i="16"/>
  <c r="D41" i="19"/>
  <c r="D24" i="19"/>
  <c r="D30" i="19"/>
  <c r="D36" i="19"/>
  <c r="D28" i="19"/>
  <c r="D31" i="19"/>
  <c r="F27" i="19"/>
  <c r="F25" i="19"/>
  <c r="F29" i="19"/>
  <c r="K95" i="2"/>
  <c r="C4" i="11"/>
  <c r="B4" i="25"/>
  <c r="D49" i="25"/>
  <c r="C46" i="25"/>
  <c r="A46" i="25" s="1"/>
  <c r="C43" i="25"/>
  <c r="A43" i="25" s="1"/>
  <c r="C40" i="25"/>
  <c r="A40" i="25" s="1"/>
  <c r="C37" i="25"/>
  <c r="A37" i="25" s="1"/>
  <c r="C34" i="25"/>
  <c r="A34" i="25" s="1"/>
  <c r="C31" i="25"/>
  <c r="A31" i="25" s="1"/>
  <c r="D13" i="25"/>
  <c r="C49" i="25"/>
  <c r="A49" i="25" s="1"/>
  <c r="C13" i="25"/>
  <c r="A13" i="25" s="1"/>
  <c r="F45" i="25"/>
  <c r="F42" i="25"/>
  <c r="F39" i="25"/>
  <c r="F36" i="25"/>
  <c r="D17" i="25"/>
  <c r="E7" i="25"/>
  <c r="F51" i="25"/>
  <c r="D45" i="25"/>
  <c r="D42" i="25"/>
  <c r="D39" i="25"/>
  <c r="D36" i="25"/>
  <c r="D33" i="25"/>
  <c r="C17" i="25"/>
  <c r="A17" i="25" s="1"/>
  <c r="D7" i="25"/>
  <c r="D38" i="25"/>
  <c r="D51" i="25"/>
  <c r="D48" i="25"/>
  <c r="C45" i="25"/>
  <c r="A45" i="25" s="1"/>
  <c r="C42" i="25"/>
  <c r="A42" i="25" s="1"/>
  <c r="C39" i="25"/>
  <c r="A39" i="25" s="1"/>
  <c r="C36" i="25"/>
  <c r="A36" i="25" s="1"/>
  <c r="C33" i="25"/>
  <c r="A33" i="25" s="1"/>
  <c r="C7" i="25"/>
  <c r="A7" i="25" s="1"/>
  <c r="C51" i="25"/>
  <c r="A51" i="25" s="1"/>
  <c r="C48" i="25"/>
  <c r="A48" i="25" s="1"/>
  <c r="D11" i="25"/>
  <c r="D44" i="25"/>
  <c r="D32" i="25"/>
  <c r="F44" i="25"/>
  <c r="F41" i="25"/>
  <c r="F38" i="25"/>
  <c r="F35" i="25"/>
  <c r="F32" i="25"/>
  <c r="C11" i="25"/>
  <c r="A11" i="25" s="1"/>
  <c r="D47" i="25"/>
  <c r="D41" i="25"/>
  <c r="D35" i="25"/>
  <c r="D15" i="25"/>
  <c r="D50" i="25"/>
  <c r="C47" i="25"/>
  <c r="A47" i="25" s="1"/>
  <c r="C44" i="25"/>
  <c r="A44" i="25" s="1"/>
  <c r="C41" i="25"/>
  <c r="A41" i="25" s="1"/>
  <c r="C38" i="25"/>
  <c r="A38" i="25" s="1"/>
  <c r="C35" i="25"/>
  <c r="A35" i="25" s="1"/>
  <c r="C32" i="25"/>
  <c r="A32" i="25" s="1"/>
  <c r="C15" i="25"/>
  <c r="A15" i="25" s="1"/>
  <c r="B2" i="25"/>
  <c r="D46" i="25"/>
  <c r="D43" i="25"/>
  <c r="D37" i="25"/>
  <c r="D31" i="25"/>
  <c r="C50" i="25"/>
  <c r="A50" i="25" s="1"/>
  <c r="C9" i="25"/>
  <c r="A9" i="25" s="1"/>
  <c r="F46" i="25"/>
  <c r="F43" i="25"/>
  <c r="F40" i="25"/>
  <c r="F37" i="25"/>
  <c r="F34" i="25"/>
  <c r="D9" i="25"/>
  <c r="C8" i="24"/>
  <c r="F49" i="25"/>
  <c r="D40" i="25"/>
  <c r="D34" i="25"/>
  <c r="C30" i="22"/>
  <c r="D26" i="22"/>
  <c r="D8" i="25"/>
  <c r="D41" i="22"/>
  <c r="D19" i="22"/>
  <c r="D32" i="22"/>
  <c r="D36" i="22"/>
  <c r="D10" i="25"/>
  <c r="F20" i="22"/>
  <c r="F18" i="22"/>
  <c r="C36" i="22"/>
  <c r="D21" i="22"/>
  <c r="C20" i="22"/>
  <c r="C31" i="22"/>
  <c r="C38" i="22"/>
  <c r="C37" i="22"/>
  <c r="D12" i="25"/>
  <c r="D31" i="22"/>
  <c r="C34" i="22"/>
  <c r="C8" i="25"/>
  <c r="A8" i="25" s="1"/>
  <c r="C22" i="22"/>
  <c r="C21" i="22"/>
  <c r="D14" i="25"/>
  <c r="C26" i="22"/>
  <c r="D38" i="22"/>
  <c r="C27" i="22"/>
  <c r="C33" i="22"/>
  <c r="C41" i="22"/>
  <c r="C9" i="22"/>
  <c r="D16" i="25"/>
  <c r="D20" i="22"/>
  <c r="C17" i="22"/>
  <c r="C23" i="22"/>
  <c r="C52" i="25"/>
  <c r="A52" i="25" s="1"/>
  <c r="C5" i="22"/>
  <c r="C28" i="22"/>
  <c r="C19" i="22"/>
  <c r="D18" i="22"/>
  <c r="C10" i="25"/>
  <c r="A10" i="25" s="1"/>
  <c r="C32" i="22"/>
  <c r="D17" i="22"/>
  <c r="D37" i="22"/>
  <c r="D27" i="22"/>
  <c r="C7" i="22"/>
  <c r="C6" i="22"/>
  <c r="C12" i="25"/>
  <c r="A12" i="25" s="1"/>
  <c r="D30" i="22"/>
  <c r="D33" i="22"/>
  <c r="F52" i="25"/>
  <c r="D22" i="22"/>
  <c r="C29" i="22"/>
  <c r="D28" i="22"/>
  <c r="C14" i="25"/>
  <c r="A14" i="25" s="1"/>
  <c r="C18" i="22"/>
  <c r="D34" i="22"/>
  <c r="D29" i="22"/>
  <c r="F22" i="22"/>
  <c r="C13" i="22"/>
  <c r="C12" i="22"/>
  <c r="C16" i="25"/>
  <c r="A16" i="25" s="1"/>
  <c r="D23" i="22"/>
  <c r="D52" i="25"/>
  <c r="D35" i="22"/>
  <c r="C35" i="22"/>
  <c r="B4" i="19"/>
  <c r="B4" i="27"/>
  <c r="B2" i="16"/>
  <c r="B2" i="19"/>
  <c r="B2" i="18"/>
  <c r="B2" i="27" s="1"/>
  <c r="D20" i="18"/>
  <c r="D43" i="18"/>
  <c r="C43" i="18"/>
  <c r="C44" i="18"/>
  <c r="D44" i="18"/>
  <c r="D17" i="18"/>
  <c r="G8" i="11"/>
  <c r="H8" i="11"/>
  <c r="C7" i="19"/>
  <c r="D8" i="11"/>
  <c r="B8" i="11" s="1"/>
  <c r="E8" i="11"/>
  <c r="L8" i="11" s="1"/>
  <c r="F8" i="11"/>
  <c r="B4" i="14"/>
  <c r="B4" i="24" s="1"/>
  <c r="B4" i="16"/>
  <c r="B2" i="14"/>
  <c r="B2" i="24" s="1"/>
  <c r="C12" i="14"/>
  <c r="C8" i="14"/>
  <c r="J3" i="3"/>
  <c r="J9" i="3" s="1"/>
  <c r="J10" i="3" s="1"/>
  <c r="J11" i="3" s="1"/>
  <c r="J12" i="3" s="1"/>
  <c r="J13" i="3" s="1"/>
  <c r="I5" i="3"/>
  <c r="H33" i="10"/>
  <c r="H43" i="10" s="1"/>
  <c r="I38" i="10"/>
  <c r="I32" i="10"/>
  <c r="I31" i="10"/>
  <c r="I35" i="10"/>
  <c r="G39" i="16" l="1"/>
  <c r="F85" i="16"/>
  <c r="F86" i="16" s="1"/>
  <c r="G52" i="16"/>
  <c r="E73" i="16"/>
  <c r="G31" i="16"/>
  <c r="G40" i="16"/>
  <c r="G78" i="16"/>
  <c r="G43" i="16"/>
  <c r="E44" i="16"/>
  <c r="G44" i="16" s="1"/>
  <c r="E42" i="16"/>
  <c r="G42" i="16" s="1"/>
  <c r="E77" i="16"/>
  <c r="G77" i="16" s="1"/>
  <c r="G75" i="16"/>
  <c r="G74" i="16"/>
  <c r="E41" i="16"/>
  <c r="G41" i="16" s="1"/>
  <c r="E76" i="16"/>
  <c r="G76" i="16" s="1"/>
  <c r="P147" i="5"/>
  <c r="Q147" i="5"/>
  <c r="N147" i="5"/>
  <c r="O147" i="5"/>
  <c r="S147" i="5"/>
  <c r="R9" i="5"/>
  <c r="R147" i="5" s="1"/>
  <c r="G56" i="25"/>
  <c r="G57" i="25"/>
  <c r="G55" i="25"/>
  <c r="G53" i="25"/>
  <c r="G61" i="25"/>
  <c r="G60" i="25"/>
  <c r="G54" i="25"/>
  <c r="G58" i="25"/>
  <c r="G59" i="25"/>
  <c r="F20" i="25"/>
  <c r="D10" i="16"/>
  <c r="C12" i="16"/>
  <c r="A12" i="16" s="1"/>
  <c r="D20" i="19"/>
  <c r="C11" i="22"/>
  <c r="D15" i="22"/>
  <c r="D10" i="22"/>
  <c r="D9" i="22"/>
  <c r="D10" i="19"/>
  <c r="D8" i="19"/>
  <c r="D8" i="22"/>
  <c r="C16" i="16"/>
  <c r="A16" i="16" s="1"/>
  <c r="D4" i="22"/>
  <c r="C3" i="22"/>
  <c r="D19" i="19"/>
  <c r="D6" i="22"/>
  <c r="C8" i="22"/>
  <c r="C16" i="22"/>
  <c r="C11" i="16"/>
  <c r="A11" i="16" s="1"/>
  <c r="D12" i="16"/>
  <c r="D13" i="19"/>
  <c r="C8" i="16"/>
  <c r="A8" i="16" s="1"/>
  <c r="C10" i="22"/>
  <c r="D3" i="22"/>
  <c r="D9" i="16"/>
  <c r="C9" i="16"/>
  <c r="A9" i="16" s="1"/>
  <c r="D15" i="16"/>
  <c r="D16" i="22"/>
  <c r="D14" i="22"/>
  <c r="D12" i="19"/>
  <c r="D11" i="16"/>
  <c r="D21" i="19"/>
  <c r="D16" i="19"/>
  <c r="D13" i="16"/>
  <c r="D14" i="16"/>
  <c r="C14" i="22"/>
  <c r="D12" i="22"/>
  <c r="D13" i="22"/>
  <c r="D11" i="19"/>
  <c r="C14" i="16"/>
  <c r="A14" i="16" s="1"/>
  <c r="D16" i="16"/>
  <c r="D8" i="16"/>
  <c r="C13" i="16"/>
  <c r="A13" i="16" s="1"/>
  <c r="C4" i="22"/>
  <c r="D11" i="22"/>
  <c r="D9" i="19"/>
  <c r="D7" i="22"/>
  <c r="C15" i="22"/>
  <c r="D5" i="22"/>
  <c r="D18" i="19"/>
  <c r="D14" i="19"/>
  <c r="D17" i="19"/>
  <c r="C10" i="16"/>
  <c r="A10" i="16" s="1"/>
  <c r="D15" i="19"/>
  <c r="E38" i="18"/>
  <c r="F33" i="25"/>
  <c r="I43" i="10"/>
  <c r="E43" i="19"/>
  <c r="I9" i="11"/>
  <c r="J10" i="11"/>
  <c r="I10" i="11"/>
  <c r="I14" i="11"/>
  <c r="I12" i="11"/>
  <c r="I17" i="11"/>
  <c r="J13" i="11"/>
  <c r="I11" i="11"/>
  <c r="I15" i="11"/>
  <c r="J9" i="11"/>
  <c r="I13" i="11"/>
  <c r="J11" i="11"/>
  <c r="I16" i="11"/>
  <c r="J17" i="11"/>
  <c r="J18" i="11"/>
  <c r="J14" i="11"/>
  <c r="J12" i="11"/>
  <c r="J16" i="11"/>
  <c r="J15" i="11"/>
  <c r="I18" i="11"/>
  <c r="F39" i="19"/>
  <c r="E14" i="3"/>
  <c r="E31" i="3"/>
  <c r="E32" i="3"/>
  <c r="E33" i="3"/>
  <c r="E34" i="3"/>
  <c r="E35" i="3"/>
  <c r="E36" i="3"/>
  <c r="E37" i="3"/>
  <c r="E38" i="3"/>
  <c r="D2" i="22"/>
  <c r="C2" i="22"/>
  <c r="C7" i="16"/>
  <c r="A7" i="16" s="1"/>
  <c r="D7" i="19"/>
  <c r="E17" i="3"/>
  <c r="I17" i="3" s="1"/>
  <c r="E18" i="3"/>
  <c r="I18" i="3" s="1"/>
  <c r="E16" i="3"/>
  <c r="E27" i="3"/>
  <c r="E22" i="3"/>
  <c r="E29" i="3"/>
  <c r="E24" i="3"/>
  <c r="E19" i="3"/>
  <c r="E26" i="3"/>
  <c r="E21" i="3"/>
  <c r="E28" i="3"/>
  <c r="E23" i="3"/>
  <c r="E30" i="3"/>
  <c r="E25" i="3"/>
  <c r="E20" i="3"/>
  <c r="E15" i="3"/>
  <c r="G15" i="3" s="1"/>
  <c r="D7" i="16"/>
  <c r="I44" i="10"/>
  <c r="G73" i="16" l="1"/>
  <c r="E85" i="16"/>
  <c r="G85" i="16" s="1"/>
  <c r="K18" i="11"/>
  <c r="K17" i="11"/>
  <c r="K9" i="11"/>
  <c r="F2" i="22"/>
  <c r="F19" i="19"/>
  <c r="F15" i="19"/>
  <c r="F17" i="19"/>
  <c r="F12" i="22"/>
  <c r="F3" i="22"/>
  <c r="F10" i="22"/>
  <c r="F16" i="19"/>
  <c r="F5" i="22"/>
  <c r="F13" i="22"/>
  <c r="F18" i="19"/>
  <c r="F9" i="19"/>
  <c r="F14" i="19"/>
  <c r="F8" i="19"/>
  <c r="F10" i="16"/>
  <c r="F14" i="22"/>
  <c r="F11" i="16"/>
  <c r="F13" i="19"/>
  <c r="F16" i="16"/>
  <c r="F8" i="16"/>
  <c r="F11" i="22"/>
  <c r="F16" i="22"/>
  <c r="F8" i="22"/>
  <c r="F11" i="19"/>
  <c r="F10" i="19"/>
  <c r="F7" i="22"/>
  <c r="F15" i="16"/>
  <c r="F9" i="16"/>
  <c r="F14" i="16"/>
  <c r="F4" i="22"/>
  <c r="F21" i="19"/>
  <c r="F6" i="22"/>
  <c r="F9" i="22"/>
  <c r="F12" i="16"/>
  <c r="F12" i="19"/>
  <c r="F13" i="16"/>
  <c r="K13" i="11"/>
  <c r="E23" i="19"/>
  <c r="F30" i="19"/>
  <c r="F42" i="19"/>
  <c r="K16" i="11"/>
  <c r="K15" i="11"/>
  <c r="K10" i="11"/>
  <c r="K11" i="11"/>
  <c r="K12" i="11"/>
  <c r="K14" i="11"/>
  <c r="H14" i="3"/>
  <c r="G14" i="3"/>
  <c r="I14" i="3"/>
  <c r="F14" i="3"/>
  <c r="F38" i="3"/>
  <c r="G38" i="3"/>
  <c r="I38" i="3"/>
  <c r="H38" i="3"/>
  <c r="H31" i="3"/>
  <c r="I31" i="3"/>
  <c r="G31" i="3"/>
  <c r="F31" i="3"/>
  <c r="I37" i="3"/>
  <c r="H37" i="3"/>
  <c r="G37" i="3"/>
  <c r="F37" i="3"/>
  <c r="F36" i="3"/>
  <c r="G36" i="3"/>
  <c r="I36" i="3"/>
  <c r="H36" i="3"/>
  <c r="F35" i="3"/>
  <c r="H35" i="3"/>
  <c r="G35" i="3"/>
  <c r="I35" i="3"/>
  <c r="F34" i="3"/>
  <c r="G34" i="3"/>
  <c r="I34" i="3"/>
  <c r="H34" i="3"/>
  <c r="I33" i="3"/>
  <c r="H33" i="3"/>
  <c r="G33" i="3"/>
  <c r="F33" i="3"/>
  <c r="F32" i="3"/>
  <c r="H32" i="3"/>
  <c r="G32" i="3"/>
  <c r="I32" i="3"/>
  <c r="F18" i="3"/>
  <c r="G18" i="3"/>
  <c r="H18" i="3"/>
  <c r="F17" i="3"/>
  <c r="G17" i="3"/>
  <c r="H17" i="3"/>
  <c r="F16" i="3"/>
  <c r="G16" i="3"/>
  <c r="I16" i="3"/>
  <c r="F20" i="3"/>
  <c r="G20" i="3"/>
  <c r="H20" i="3"/>
  <c r="I20" i="3"/>
  <c r="G25" i="3"/>
  <c r="H25" i="3"/>
  <c r="I25" i="3"/>
  <c r="F25" i="3"/>
  <c r="H30" i="3"/>
  <c r="I30" i="3"/>
  <c r="F30" i="3"/>
  <c r="G30" i="3"/>
  <c r="I23" i="3"/>
  <c r="F23" i="3"/>
  <c r="G23" i="3"/>
  <c r="H23" i="3"/>
  <c r="F28" i="3"/>
  <c r="G28" i="3"/>
  <c r="H28" i="3"/>
  <c r="I28" i="3"/>
  <c r="F21" i="3"/>
  <c r="G21" i="3"/>
  <c r="H21" i="3"/>
  <c r="I21" i="3"/>
  <c r="F26" i="3"/>
  <c r="G26" i="3"/>
  <c r="H26" i="3"/>
  <c r="I26" i="3"/>
  <c r="F19" i="3"/>
  <c r="G19" i="3"/>
  <c r="H19" i="3"/>
  <c r="I19" i="3"/>
  <c r="F24" i="3"/>
  <c r="G24" i="3"/>
  <c r="H24" i="3"/>
  <c r="I24" i="3"/>
  <c r="F29" i="3"/>
  <c r="G29" i="3"/>
  <c r="H29" i="3"/>
  <c r="I29" i="3"/>
  <c r="F22" i="3"/>
  <c r="G22" i="3"/>
  <c r="H22" i="3"/>
  <c r="I22" i="3"/>
  <c r="F27" i="3"/>
  <c r="G27" i="3"/>
  <c r="H27" i="3"/>
  <c r="I27" i="3"/>
  <c r="F15" i="3"/>
  <c r="I15" i="3"/>
  <c r="H15" i="3"/>
  <c r="F7" i="16"/>
  <c r="F7" i="19"/>
  <c r="F28" i="16" l="1"/>
  <c r="G86" i="16"/>
  <c r="E86" i="16"/>
  <c r="F18" i="25"/>
  <c r="E8" i="18"/>
  <c r="F34" i="18"/>
  <c r="F41" i="18"/>
  <c r="F28" i="19"/>
  <c r="F31" i="19"/>
  <c r="F32" i="19"/>
  <c r="F36" i="19"/>
  <c r="F33" i="19"/>
  <c r="F24" i="19"/>
  <c r="F20" i="19"/>
  <c r="F35" i="18"/>
  <c r="E25" i="19"/>
  <c r="E27" i="22"/>
  <c r="E37" i="19"/>
  <c r="E17" i="22"/>
  <c r="F39" i="18"/>
  <c r="E36" i="22"/>
  <c r="E39" i="19"/>
  <c r="E42" i="19"/>
  <c r="E41" i="22"/>
  <c r="F38" i="18"/>
  <c r="E18" i="25"/>
  <c r="F37" i="18"/>
  <c r="E36" i="19"/>
  <c r="E33" i="22"/>
  <c r="F40" i="18"/>
  <c r="E29" i="22"/>
  <c r="E32" i="19"/>
  <c r="E14" i="25"/>
  <c r="E7" i="18"/>
  <c r="F41" i="19"/>
  <c r="F35" i="19"/>
  <c r="E29" i="19"/>
  <c r="E26" i="22"/>
  <c r="E27" i="19"/>
  <c r="K147" i="11"/>
  <c r="F40" i="19"/>
  <c r="F37" i="19"/>
  <c r="F38" i="19"/>
  <c r="F34" i="19"/>
  <c r="I39" i="3"/>
  <c r="D21" i="27"/>
  <c r="D22" i="27"/>
  <c r="G18" i="25" l="1"/>
  <c r="F30" i="18"/>
  <c r="F20" i="18"/>
  <c r="E19" i="18" s="1"/>
  <c r="E19" i="25"/>
  <c r="G19" i="25" s="1"/>
  <c r="F25" i="18"/>
  <c r="E24" i="25"/>
  <c r="G24" i="25" s="1"/>
  <c r="F26" i="18"/>
  <c r="E25" i="25"/>
  <c r="G25" i="25" s="1"/>
  <c r="F22" i="18"/>
  <c r="E21" i="25"/>
  <c r="G21" i="25" s="1"/>
  <c r="F27" i="18"/>
  <c r="E26" i="25"/>
  <c r="G26" i="25" s="1"/>
  <c r="F21" i="18"/>
  <c r="E20" i="25"/>
  <c r="G20" i="25" s="1"/>
  <c r="F28" i="18"/>
  <c r="E27" i="25"/>
  <c r="G27" i="25" s="1"/>
  <c r="F31" i="18"/>
  <c r="F24" i="18"/>
  <c r="E23" i="25"/>
  <c r="G23" i="25" s="1"/>
  <c r="F23" i="18"/>
  <c r="E22" i="25"/>
  <c r="G22" i="25" s="1"/>
  <c r="F33" i="18"/>
  <c r="F29" i="18"/>
  <c r="E28" i="25"/>
  <c r="G28" i="25" s="1"/>
  <c r="F32" i="18"/>
  <c r="E8" i="14"/>
  <c r="F31" i="25"/>
  <c r="B9" i="3"/>
  <c r="E47" i="25"/>
  <c r="F13" i="25"/>
  <c r="F22" i="19"/>
  <c r="F26" i="19"/>
  <c r="F29" i="16"/>
  <c r="F50" i="16" s="1"/>
  <c r="F51" i="16" s="1"/>
  <c r="E30" i="22"/>
  <c r="E33" i="19"/>
  <c r="F11" i="25"/>
  <c r="E12" i="25"/>
  <c r="D8" i="14"/>
  <c r="E30" i="19"/>
  <c r="E37" i="22"/>
  <c r="E35" i="19"/>
  <c r="E22" i="19"/>
  <c r="F17" i="18"/>
  <c r="E32" i="22"/>
  <c r="F9" i="25"/>
  <c r="E31" i="19"/>
  <c r="E34" i="22"/>
  <c r="E28" i="22"/>
  <c r="E40" i="19"/>
  <c r="E36" i="18"/>
  <c r="E35" i="22"/>
  <c r="E38" i="19"/>
  <c r="E10" i="25"/>
  <c r="E29" i="16"/>
  <c r="E50" i="16" s="1"/>
  <c r="E23" i="22"/>
  <c r="E28" i="19"/>
  <c r="E41" i="19"/>
  <c r="E38" i="22"/>
  <c r="E24" i="19"/>
  <c r="E19" i="22"/>
  <c r="F48" i="25"/>
  <c r="E31" i="22"/>
  <c r="E34" i="19"/>
  <c r="E26" i="19"/>
  <c r="E21" i="22"/>
  <c r="D23" i="27"/>
  <c r="J8" i="11"/>
  <c r="I8" i="11"/>
  <c r="G50" i="16" l="1"/>
  <c r="E15" i="25"/>
  <c r="E17" i="25"/>
  <c r="E8" i="25"/>
  <c r="K8" i="11"/>
  <c r="B10" i="3"/>
  <c r="G29" i="16"/>
  <c r="G39" i="22"/>
  <c r="E16" i="25"/>
  <c r="E48" i="25"/>
  <c r="G48" i="25" s="1"/>
  <c r="F36" i="22"/>
  <c r="F38" i="22"/>
  <c r="F37" i="22"/>
  <c r="F35" i="22"/>
  <c r="F17" i="25"/>
  <c r="G17" i="25" l="1"/>
  <c r="B11" i="3"/>
  <c r="E12" i="22"/>
  <c r="F31" i="22"/>
  <c r="F32" i="22"/>
  <c r="F19" i="22"/>
  <c r="F21" i="22"/>
  <c r="E22" i="22"/>
  <c r="F29" i="22"/>
  <c r="E20" i="22"/>
  <c r="E10" i="22"/>
  <c r="E8" i="22"/>
  <c r="E7" i="22"/>
  <c r="E35" i="25"/>
  <c r="G35" i="25" s="1"/>
  <c r="E38" i="25"/>
  <c r="G38" i="25" s="1"/>
  <c r="E36" i="25"/>
  <c r="G36" i="25" s="1"/>
  <c r="F47" i="25"/>
  <c r="G47" i="25" s="1"/>
  <c r="E37" i="25"/>
  <c r="G37" i="25" s="1"/>
  <c r="E33" i="25"/>
  <c r="G33" i="25" s="1"/>
  <c r="E31" i="25"/>
  <c r="G31" i="25" s="1"/>
  <c r="F16" i="25"/>
  <c r="G16" i="25" s="1"/>
  <c r="F12" i="25"/>
  <c r="G12" i="25" s="1"/>
  <c r="F10" i="25"/>
  <c r="G10" i="25" s="1"/>
  <c r="E9" i="25"/>
  <c r="F15" i="25"/>
  <c r="G15" i="25" s="1"/>
  <c r="F14" i="25"/>
  <c r="G14" i="25" s="1"/>
  <c r="E50" i="25"/>
  <c r="G50" i="25" s="1"/>
  <c r="E43" i="25"/>
  <c r="G43" i="25" s="1"/>
  <c r="E52" i="25"/>
  <c r="G52" i="25" s="1"/>
  <c r="E32" i="25"/>
  <c r="G32" i="25" s="1"/>
  <c r="E49" i="25"/>
  <c r="G49" i="25" s="1"/>
  <c r="E11" i="25"/>
  <c r="G11" i="25" s="1"/>
  <c r="E41" i="25"/>
  <c r="G41" i="25" s="1"/>
  <c r="E42" i="25"/>
  <c r="G42" i="25" s="1"/>
  <c r="E46" i="25"/>
  <c r="G46" i="25" s="1"/>
  <c r="F8" i="25"/>
  <c r="G8" i="25" s="1"/>
  <c r="E39" i="25"/>
  <c r="G39" i="25" s="1"/>
  <c r="E13" i="25"/>
  <c r="G13" i="25" s="1"/>
  <c r="E51" i="25"/>
  <c r="G51" i="25" s="1"/>
  <c r="E45" i="25"/>
  <c r="G45" i="25" s="1"/>
  <c r="F7" i="25"/>
  <c r="E40" i="25"/>
  <c r="G40" i="25" s="1"/>
  <c r="E34" i="25"/>
  <c r="G34" i="25" s="1"/>
  <c r="F26" i="22"/>
  <c r="F28" i="22"/>
  <c r="F27" i="22"/>
  <c r="F30" i="22"/>
  <c r="E11" i="22"/>
  <c r="E18" i="22"/>
  <c r="E16" i="22"/>
  <c r="F23" i="22"/>
  <c r="F17" i="22"/>
  <c r="E6" i="22"/>
  <c r="E9" i="22"/>
  <c r="E13" i="22"/>
  <c r="E14" i="22"/>
  <c r="F8" i="14"/>
  <c r="D12" i="14"/>
  <c r="G12" i="14" s="1"/>
  <c r="E12" i="14"/>
  <c r="L147" i="11"/>
  <c r="B12" i="3" l="1"/>
  <c r="E8" i="19"/>
  <c r="E11" i="16"/>
  <c r="G11" i="16" s="1"/>
  <c r="E8" i="16"/>
  <c r="G8" i="16" s="1"/>
  <c r="E18" i="19"/>
  <c r="E9" i="16"/>
  <c r="G9" i="16" s="1"/>
  <c r="E15" i="19"/>
  <c r="E11" i="19"/>
  <c r="E16" i="19"/>
  <c r="E14" i="19"/>
  <c r="E14" i="16"/>
  <c r="G14" i="16" s="1"/>
  <c r="E12" i="19"/>
  <c r="E12" i="16"/>
  <c r="G12" i="16" s="1"/>
  <c r="E10" i="19"/>
  <c r="E15" i="16"/>
  <c r="G15" i="16" s="1"/>
  <c r="E13" i="19"/>
  <c r="E13" i="16"/>
  <c r="G13" i="16" s="1"/>
  <c r="E9" i="19"/>
  <c r="E19" i="19"/>
  <c r="E10" i="16"/>
  <c r="G10" i="16" s="1"/>
  <c r="E16" i="16"/>
  <c r="G16" i="16" s="1"/>
  <c r="E21" i="19"/>
  <c r="E17" i="19"/>
  <c r="E20" i="19"/>
  <c r="E15" i="22"/>
  <c r="E7" i="19"/>
  <c r="E7" i="16"/>
  <c r="E2" i="22"/>
  <c r="E3" i="22"/>
  <c r="E5" i="22"/>
  <c r="F62" i="25"/>
  <c r="F29" i="25"/>
  <c r="G7" i="25"/>
  <c r="G9" i="25"/>
  <c r="E29" i="25"/>
  <c r="F15" i="22"/>
  <c r="G42" i="22"/>
  <c r="F34" i="22"/>
  <c r="E28" i="16" l="1"/>
  <c r="J14" i="3"/>
  <c r="B13" i="3"/>
  <c r="E44" i="19"/>
  <c r="G7" i="16"/>
  <c r="G29" i="25"/>
  <c r="H24" i="22"/>
  <c r="F33" i="22"/>
  <c r="H39" i="22" s="1"/>
  <c r="H40" i="22" s="1"/>
  <c r="G28" i="16" l="1"/>
  <c r="G51" i="16" s="1"/>
  <c r="E51" i="16"/>
  <c r="B14" i="3"/>
  <c r="J15" i="3"/>
  <c r="B15" i="3" s="1"/>
  <c r="I147" i="11" l="1"/>
  <c r="J147" i="11" l="1"/>
  <c r="H16" i="3" l="1"/>
  <c r="J16" i="3" l="1"/>
  <c r="H39" i="3"/>
  <c r="J17" i="3" l="1"/>
  <c r="B16" i="3"/>
  <c r="J18" i="3" l="1"/>
  <c r="B17" i="3"/>
  <c r="E44" i="25"/>
  <c r="E4" i="22"/>
  <c r="G24" i="22" s="1"/>
  <c r="G25" i="22" s="1"/>
  <c r="Q148" i="5"/>
  <c r="J19" i="3" l="1"/>
  <c r="B18" i="3"/>
  <c r="S148" i="5"/>
  <c r="E43" i="18"/>
  <c r="P148" i="5"/>
  <c r="C10" i="14" s="1"/>
  <c r="G44" i="25"/>
  <c r="E62" i="25"/>
  <c r="G62" i="25" s="1"/>
  <c r="G63" i="25" s="1"/>
  <c r="J20" i="3" l="1"/>
  <c r="B19" i="3"/>
  <c r="F44" i="18"/>
  <c r="F45" i="18" s="1"/>
  <c r="E45" i="18"/>
  <c r="D10" i="14"/>
  <c r="G10" i="14" s="1"/>
  <c r="E10" i="14"/>
  <c r="F10" i="14" s="1"/>
  <c r="B10" i="14"/>
  <c r="F15" i="14"/>
  <c r="D10" i="24"/>
  <c r="B63" i="25"/>
  <c r="J21" i="3" l="1"/>
  <c r="B20" i="3"/>
  <c r="D9" i="24"/>
  <c r="F13" i="14"/>
  <c r="E9" i="24"/>
  <c r="G13" i="14"/>
  <c r="J22" i="3" l="1"/>
  <c r="B21" i="3"/>
  <c r="G14" i="14"/>
  <c r="D8" i="24" s="1"/>
  <c r="F87" i="16" s="1"/>
  <c r="F14" i="14"/>
  <c r="F88" i="16" l="1"/>
  <c r="G88" i="16" s="1"/>
  <c r="G89" i="16" s="1"/>
  <c r="E89" i="16" s="1"/>
  <c r="G87" i="16"/>
  <c r="J23" i="3"/>
  <c r="B22" i="3"/>
  <c r="F41" i="22"/>
  <c r="H42" i="22" s="1"/>
  <c r="H43" i="22" s="1"/>
  <c r="H44" i="22" s="1"/>
  <c r="J24" i="3" l="1"/>
  <c r="B23" i="3"/>
  <c r="J25" i="3" l="1"/>
  <c r="B24" i="3"/>
  <c r="F43" i="19"/>
  <c r="F44" i="19" s="1"/>
  <c r="J26" i="3" l="1"/>
  <c r="B25" i="3"/>
  <c r="J27" i="3" l="1"/>
  <c r="B26" i="3"/>
  <c r="J28" i="3" l="1"/>
  <c r="B27" i="3"/>
  <c r="J29" i="3" l="1"/>
  <c r="B28" i="3"/>
  <c r="J30" i="3" l="1"/>
  <c r="B29" i="3"/>
  <c r="J31" i="3" l="1"/>
  <c r="B30" i="3"/>
  <c r="J32" i="3" l="1"/>
  <c r="B31" i="3"/>
  <c r="J33" i="3" l="1"/>
  <c r="B32" i="3"/>
  <c r="J34" i="3" l="1"/>
  <c r="B33" i="3"/>
  <c r="J35" i="3" l="1"/>
  <c r="B34" i="3"/>
  <c r="J36" i="3" l="1"/>
  <c r="B35" i="3"/>
  <c r="J37" i="3" l="1"/>
  <c r="B36" i="3"/>
  <c r="J38" i="3" l="1"/>
  <c r="B38" i="3" s="1"/>
  <c r="B37" i="3"/>
</calcChain>
</file>

<file path=xl/sharedStrings.xml><?xml version="1.0" encoding="utf-8"?>
<sst xmlns="http://schemas.openxmlformats.org/spreadsheetml/2006/main" count="766" uniqueCount="230">
  <si>
    <t xml:space="preserve">Kode </t>
  </si>
  <si>
    <t xml:space="preserve">Nama Akun </t>
  </si>
  <si>
    <t>Pos</t>
  </si>
  <si>
    <t>SN</t>
  </si>
  <si>
    <t>Debit</t>
  </si>
  <si>
    <t>Kredit</t>
  </si>
  <si>
    <t>Saldo Awal</t>
  </si>
  <si>
    <t>Nrc</t>
  </si>
  <si>
    <t>Db</t>
  </si>
  <si>
    <t>Balance (Ʃ)</t>
  </si>
  <si>
    <t xml:space="preserve">Jurnal Umum </t>
  </si>
  <si>
    <t>Tanggal</t>
  </si>
  <si>
    <t>Ref</t>
  </si>
  <si>
    <t>Keterangan</t>
  </si>
  <si>
    <t xml:space="preserve">Debit </t>
  </si>
  <si>
    <t>Kode</t>
  </si>
  <si>
    <t>Kas</t>
  </si>
  <si>
    <t>Kr</t>
  </si>
  <si>
    <t>KB</t>
  </si>
  <si>
    <t>Buku Besar</t>
  </si>
  <si>
    <t>No</t>
  </si>
  <si>
    <t>Saldo</t>
  </si>
  <si>
    <t>Saldo awal</t>
  </si>
  <si>
    <t>Pilih Akun</t>
  </si>
  <si>
    <t>KB2</t>
  </si>
  <si>
    <t xml:space="preserve">Filter </t>
  </si>
  <si>
    <t>Persediaan Barang Dagang</t>
  </si>
  <si>
    <t>Piutang Usaha</t>
  </si>
  <si>
    <t>Wesel Tagih</t>
  </si>
  <si>
    <t>Iklan Dibayar Dimuka</t>
  </si>
  <si>
    <t>Sewa Dibayar Dimuka</t>
  </si>
  <si>
    <t>Asuransi Dibayar Dimuka</t>
  </si>
  <si>
    <t>Kendaraan</t>
  </si>
  <si>
    <t>Akumulasi Penyusutan Peralatanan Kendaraan</t>
  </si>
  <si>
    <t>Gedung</t>
  </si>
  <si>
    <t>Akumulasi Penyusutan Gedung</t>
  </si>
  <si>
    <t>Utang Usaha/Dagang</t>
  </si>
  <si>
    <t>Utang Wesel</t>
  </si>
  <si>
    <t>Utang Gaji</t>
  </si>
  <si>
    <t>Utang Pajak Penghasilan</t>
  </si>
  <si>
    <t>Utang Hipotek</t>
  </si>
  <si>
    <t>Utang Obligasi</t>
  </si>
  <si>
    <t>Modal/Ekuitas</t>
  </si>
  <si>
    <t>Prive</t>
  </si>
  <si>
    <t>Potongan Penjualan</t>
  </si>
  <si>
    <t>Pembelian</t>
  </si>
  <si>
    <t>Beban Angkut Pembelian</t>
  </si>
  <si>
    <t>Potongan Pembelian</t>
  </si>
  <si>
    <t>Beban Gaji Toko</t>
  </si>
  <si>
    <t>Beban Gaji Kantor</t>
  </si>
  <si>
    <t>Beban Asuransi</t>
  </si>
  <si>
    <t>Beban Penyesuaian Piutang</t>
  </si>
  <si>
    <t>Beban Perlengkapan Kantor</t>
  </si>
  <si>
    <t>Beban Perlengkapan Toko</t>
  </si>
  <si>
    <t>Beban Iklan</t>
  </si>
  <si>
    <t>Beban Penyusutan Gedung</t>
  </si>
  <si>
    <t>Beban Bunga</t>
  </si>
  <si>
    <t>Beban Listrik Dan Telepon</t>
  </si>
  <si>
    <t>Beban Lain-</t>
  </si>
  <si>
    <t>Lr</t>
  </si>
  <si>
    <t>Pendapatan Bunga</t>
  </si>
  <si>
    <t>Ʃ</t>
  </si>
  <si>
    <t xml:space="preserve">Neraca Lajur </t>
  </si>
  <si>
    <t>Neraca saldo</t>
  </si>
  <si>
    <t xml:space="preserve">Penyesuaian </t>
  </si>
  <si>
    <t>NSD</t>
  </si>
  <si>
    <t>Laba/Rugi</t>
  </si>
  <si>
    <t>Neraca</t>
  </si>
  <si>
    <t>Balancing statement</t>
  </si>
  <si>
    <t>Utang sewa</t>
  </si>
  <si>
    <t xml:space="preserve">Beban Penyusutan Kendaraan </t>
  </si>
  <si>
    <t>PBD A</t>
  </si>
  <si>
    <t xml:space="preserve">Pembelian </t>
  </si>
  <si>
    <t xml:space="preserve">Beban angkut pembelian </t>
  </si>
  <si>
    <t xml:space="preserve">Total pembelian </t>
  </si>
  <si>
    <t xml:space="preserve">Retur pembelian </t>
  </si>
  <si>
    <t xml:space="preserve">Potongan pembelian </t>
  </si>
  <si>
    <t xml:space="preserve">Total Potongan pembelian </t>
  </si>
  <si>
    <t xml:space="preserve">Total Pembelian bersih </t>
  </si>
  <si>
    <t xml:space="preserve">Barang yang tersediaan </t>
  </si>
  <si>
    <t>PBD B</t>
  </si>
  <si>
    <t>HPP</t>
  </si>
  <si>
    <t>KBNS</t>
  </si>
  <si>
    <t>KBPNY</t>
  </si>
  <si>
    <t xml:space="preserve">misal </t>
  </si>
  <si>
    <t xml:space="preserve">andi memiliki perusahaan jasa transportasi yang melayani bus jurusan bandung jakarta dan sebaliknya </t>
  </si>
  <si>
    <t>wika</t>
  </si>
  <si>
    <t>dika</t>
  </si>
  <si>
    <t>rani</t>
  </si>
  <si>
    <t>litfi</t>
  </si>
  <si>
    <t xml:space="preserve">dimas </t>
  </si>
  <si>
    <t xml:space="preserve">anjur </t>
  </si>
  <si>
    <t xml:space="preserve">tedi </t>
  </si>
  <si>
    <t xml:space="preserve">tujuan </t>
  </si>
  <si>
    <t xml:space="preserve">Jakarta bandung </t>
  </si>
  <si>
    <t>Bandung Jakarta</t>
  </si>
  <si>
    <t xml:space="preserve">harga tiket </t>
  </si>
  <si>
    <t xml:space="preserve">Bandung Jakarta </t>
  </si>
  <si>
    <t xml:space="preserve">tentukan berap pendapatan yang andi dalam hari </t>
  </si>
  <si>
    <t xml:space="preserve">anjas </t>
  </si>
  <si>
    <t>tias</t>
  </si>
  <si>
    <t xml:space="preserve">arta </t>
  </si>
  <si>
    <t>NAD</t>
  </si>
  <si>
    <t xml:space="preserve">tika </t>
  </si>
  <si>
    <t xml:space="preserve">rasni </t>
  </si>
  <si>
    <t>dui</t>
  </si>
  <si>
    <t>Nama</t>
  </si>
  <si>
    <t>Tarif Bandung Jakarta</t>
  </si>
  <si>
    <t xml:space="preserve">Susun kode terlebih dahulu </t>
  </si>
  <si>
    <t>Kutoarjo bandung</t>
  </si>
  <si>
    <t>Tarif Kutoarjo bandung</t>
  </si>
  <si>
    <t>Total</t>
  </si>
  <si>
    <t>Neraca Setelah Buku Besar</t>
  </si>
  <si>
    <t>Beban Oprasional</t>
  </si>
  <si>
    <t>Pendapatan oprasional</t>
  </si>
  <si>
    <t xml:space="preserve">Beban Akibat Bencana Alam </t>
  </si>
  <si>
    <t>Pendapatan Non Oprasional</t>
  </si>
  <si>
    <t>Debet</t>
  </si>
  <si>
    <t xml:space="preserve">Total Pendapatan </t>
  </si>
  <si>
    <t xml:space="preserve">Potongan Pembelian </t>
  </si>
  <si>
    <t>IRL</t>
  </si>
  <si>
    <t>Posisi</t>
  </si>
  <si>
    <t xml:space="preserve">Laba Bersih </t>
  </si>
  <si>
    <t>(-)</t>
  </si>
  <si>
    <t>Mengurangi</t>
  </si>
  <si>
    <t>Menambah</t>
  </si>
  <si>
    <t xml:space="preserve">control panel </t>
  </si>
  <si>
    <t>Surplus (+)</t>
  </si>
  <si>
    <t>Devisit (-)</t>
  </si>
  <si>
    <t>Laba rugi (Singel Step)</t>
  </si>
  <si>
    <t xml:space="preserve">Laporan perubahan Modal </t>
  </si>
  <si>
    <t>Harta Lancar</t>
  </si>
  <si>
    <t>Harta tetap</t>
  </si>
  <si>
    <t>Utang/liability</t>
  </si>
  <si>
    <t>Total Harta lancar</t>
  </si>
  <si>
    <t>Total Harta keseluruhan</t>
  </si>
  <si>
    <t>Total Harta tetap</t>
  </si>
  <si>
    <t>Utang non operasional</t>
  </si>
  <si>
    <t>Utang Bank</t>
  </si>
  <si>
    <t>Utang Bunga</t>
  </si>
  <si>
    <t>Pendapatan Diterima Dimuka</t>
  </si>
  <si>
    <t>Total Utang Operasional</t>
  </si>
  <si>
    <t>Total Utang nonperasional</t>
  </si>
  <si>
    <t xml:space="preserve">Total Utang Keseluruhan </t>
  </si>
  <si>
    <t xml:space="preserve">Total Ekuitas keseluruhan </t>
  </si>
  <si>
    <t>tarif</t>
  </si>
  <si>
    <t>Bandung jogja</t>
  </si>
  <si>
    <t>Total Liability + Ekuity</t>
  </si>
  <si>
    <t>Balance</t>
  </si>
  <si>
    <t>Error</t>
  </si>
  <si>
    <t>Laporan Posis Keuangan</t>
  </si>
  <si>
    <t>Daftar Akun Siklus &amp; saldo awal</t>
  </si>
  <si>
    <t>Neraca setelah Penutup</t>
  </si>
  <si>
    <t>Jurnal Penutup</t>
  </si>
  <si>
    <t>Validation</t>
  </si>
  <si>
    <t>Harta</t>
  </si>
  <si>
    <t>Utang</t>
  </si>
  <si>
    <t xml:space="preserve">Modal </t>
  </si>
  <si>
    <t>(debit)</t>
  </si>
  <si>
    <t>(Surpuls)</t>
  </si>
  <si>
    <t>(kredit )</t>
  </si>
  <si>
    <t>(devisit)</t>
  </si>
  <si>
    <t>Nertral</t>
  </si>
  <si>
    <t>(_3_)</t>
  </si>
  <si>
    <t>Mesin</t>
  </si>
  <si>
    <t>Akumulasi Penyusutan Mesin</t>
  </si>
  <si>
    <t>Perlengkapan Toko</t>
  </si>
  <si>
    <t>Periode Desember 2021</t>
  </si>
  <si>
    <t>Mazmur Larosa Production</t>
  </si>
  <si>
    <t>Transaksi</t>
  </si>
  <si>
    <t>Beban Sewa Lahan</t>
  </si>
  <si>
    <t>Retur Penjualan</t>
  </si>
  <si>
    <t>Perlengkapan Kantor</t>
  </si>
  <si>
    <t>Peralatan Toko</t>
  </si>
  <si>
    <t>Peralatan Kantor</t>
  </si>
  <si>
    <t>Akumulasi Penyusutan Peralatan Kantor</t>
  </si>
  <si>
    <t>Akumulasi Penyusutan Peralatan Toko</t>
  </si>
  <si>
    <t xml:space="preserve">Retur Pembelian </t>
  </si>
  <si>
    <t>Beban Penjualan</t>
  </si>
  <si>
    <t xml:space="preserve">Pajak Penghasilan </t>
  </si>
  <si>
    <t>Pin</t>
  </si>
  <si>
    <t>Beban Penyusutan Peralatan kantor</t>
  </si>
  <si>
    <t>Beban Penyusutan Peralatan toko</t>
  </si>
  <si>
    <t>Utang Utilitas</t>
  </si>
  <si>
    <t>Analisis Laporan</t>
  </si>
  <si>
    <t>Arus Kas (Metode Langsung)</t>
  </si>
  <si>
    <t>Arus kas yang berasal dari kegiatan operasi:</t>
  </si>
  <si>
    <t>Ditambah:</t>
  </si>
  <si>
    <t>Kas yang diterima dari pelanggan</t>
  </si>
  <si>
    <t>Dikurangi</t>
  </si>
  <si>
    <t>Kas untuk membayar biaya bunga</t>
  </si>
  <si>
    <t xml:space="preserve">Kas untuk membayar pajak </t>
  </si>
  <si>
    <t>Aliran kas bersih dari kegiatan operasi</t>
  </si>
  <si>
    <t>Kas untuk membayar biaya operasi</t>
  </si>
  <si>
    <t>Aliran kas yang berasal dari kegiatan investasi:</t>
  </si>
  <si>
    <t>Aliran kas bersih untuk kegiatan investasi</t>
  </si>
  <si>
    <t xml:space="preserve">Kas masuk yang berasal dari penjualan investasi </t>
  </si>
  <si>
    <t>Dikurangi:</t>
  </si>
  <si>
    <t>Aliran kas dari kegiatan Pembiayaan:</t>
  </si>
  <si>
    <t>Ditambah :</t>
  </si>
  <si>
    <t>Kas untuk membayar hutang obligasi</t>
  </si>
  <si>
    <t>Kas untuk membayar dividen</t>
  </si>
  <si>
    <t xml:space="preserve">Dikurangi: </t>
  </si>
  <si>
    <t xml:space="preserve">Aliran kas masuk bersih dari kegiatan pembiayaan </t>
  </si>
  <si>
    <t>Kenaikan kas</t>
  </si>
  <si>
    <t xml:space="preserve">Saldo kas pada awal tahun </t>
  </si>
  <si>
    <t>Saldo kas pada akhir tahun</t>
  </si>
  <si>
    <t>Periode saat ini</t>
  </si>
  <si>
    <t>Kondisi</t>
  </si>
  <si>
    <t>Kas untuk membeli perlengkapan</t>
  </si>
  <si>
    <t>Kas keluar untuk membeli Mesin</t>
  </si>
  <si>
    <t>Kas keluar untuk membeli Kendaraan</t>
  </si>
  <si>
    <t>Modal Pemilik</t>
  </si>
  <si>
    <t>(+)</t>
  </si>
  <si>
    <t xml:space="preserve">Tanah </t>
  </si>
  <si>
    <t>Beban service</t>
  </si>
  <si>
    <t>AP-1</t>
  </si>
  <si>
    <t>Beban Peyusutan Mesin</t>
  </si>
  <si>
    <t>Piutang Pendapatan</t>
  </si>
  <si>
    <t>CV Max Picture</t>
  </si>
  <si>
    <t>Periode Oktober 2020</t>
  </si>
  <si>
    <t>KK</t>
  </si>
  <si>
    <t>Ikhtisar Laba Rugi</t>
  </si>
  <si>
    <t>Beli Lem</t>
  </si>
  <si>
    <t xml:space="preserve">Penyusutan Lem </t>
  </si>
  <si>
    <t>JU-1</t>
  </si>
  <si>
    <r>
      <t xml:space="preserve">~ Dilarang keras merubah </t>
    </r>
    <r>
      <rPr>
        <b/>
        <i/>
        <u/>
        <sz val="11"/>
        <color theme="1"/>
        <rFont val="Calibri"/>
        <family val="2"/>
        <scheme val="minor"/>
      </rPr>
      <t>(Apapun)</t>
    </r>
    <r>
      <rPr>
        <sz val="11"/>
        <color theme="1"/>
        <rFont val="Calibri"/>
        <family val="2"/>
        <scheme val="minor"/>
      </rPr>
      <t xml:space="preserve"> yang bukan menjadi kepentingan Anda !  ~</t>
    </r>
  </si>
  <si>
    <t>Beban Administrasi</t>
  </si>
  <si>
    <t>Neraca Saldo</t>
  </si>
  <si>
    <t>CEK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</si>
</sst>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[Red]#,##0"/>
    <numFmt numFmtId="165" formatCode="_(* #,##0_);_(* \(#,##0\);_(* &quot;-&quot;??_);_(@_)"/>
    <numFmt numFmtId="166" formatCode="[$Rp-421]#,##0;[Red][$Rp-421]#,##0"/>
    <numFmt numFmtId="167" formatCode="_-[$Rp-421]* #,##0_-;\-[$Rp-421]* #,##0_-;_-[$Rp-421]* &quot;-&quot;_-;_-@_-"/>
    <numFmt numFmtId="168" formatCode="_-[$Rp-421]* #,##0.00_-;\-[$Rp-421]* #,##0.00_-;_-[$Rp-421]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  <xf numFmtId="0" fontId="10" fillId="8" borderId="0" applyNumberFormat="0" applyBorder="0" applyAlignment="0" applyProtection="0"/>
  </cellStyleXfs>
  <cellXfs count="371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14" fontId="0" fillId="0" borderId="1" xfId="0" applyNumberFormat="1" applyBorder="1" applyAlignment="1">
      <alignment horizontal="right"/>
    </xf>
    <xf numFmtId="0" fontId="0" fillId="0" borderId="5" xfId="0" applyBorder="1"/>
    <xf numFmtId="0" fontId="0" fillId="0" borderId="6" xfId="0" applyBorder="1"/>
    <xf numFmtId="166" fontId="0" fillId="0" borderId="1" xfId="0" applyNumberFormat="1" applyBorder="1"/>
    <xf numFmtId="43" fontId="0" fillId="0" borderId="1" xfId="1" applyFont="1" applyBorder="1"/>
    <xf numFmtId="0" fontId="2" fillId="0" borderId="1" xfId="0" applyFont="1" applyBorder="1" applyAlignment="1">
      <alignment horizontal="center"/>
    </xf>
    <xf numFmtId="166" fontId="0" fillId="0" borderId="8" xfId="0" applyNumberFormat="1" applyBorder="1"/>
    <xf numFmtId="0" fontId="0" fillId="0" borderId="18" xfId="0" applyBorder="1"/>
    <xf numFmtId="0" fontId="0" fillId="0" borderId="15" xfId="0" applyBorder="1"/>
    <xf numFmtId="166" fontId="0" fillId="0" borderId="15" xfId="0" applyNumberFormat="1" applyBorder="1"/>
    <xf numFmtId="166" fontId="0" fillId="0" borderId="19" xfId="0" applyNumberFormat="1" applyBorder="1"/>
    <xf numFmtId="166" fontId="0" fillId="0" borderId="20" xfId="1" applyNumberFormat="1" applyFont="1" applyBorder="1"/>
    <xf numFmtId="166" fontId="0" fillId="0" borderId="15" xfId="1" applyNumberFormat="1" applyFont="1" applyBorder="1"/>
    <xf numFmtId="166" fontId="0" fillId="0" borderId="21" xfId="0" applyNumberFormat="1" applyBorder="1"/>
    <xf numFmtId="43" fontId="0" fillId="0" borderId="0" xfId="1" applyFont="1"/>
    <xf numFmtId="166" fontId="0" fillId="0" borderId="22" xfId="0" applyNumberFormat="1" applyBorder="1"/>
    <xf numFmtId="166" fontId="4" fillId="0" borderId="13" xfId="0" applyNumberFormat="1" applyFont="1" applyBorder="1"/>
    <xf numFmtId="166" fontId="4" fillId="0" borderId="14" xfId="0" applyNumberFormat="1" applyFont="1" applyBorder="1"/>
    <xf numFmtId="0" fontId="4" fillId="0" borderId="12" xfId="0" applyFont="1" applyBorder="1"/>
    <xf numFmtId="0" fontId="4" fillId="0" borderId="13" xfId="0" applyFont="1" applyBorder="1"/>
    <xf numFmtId="0" fontId="0" fillId="0" borderId="31" xfId="0" applyBorder="1"/>
    <xf numFmtId="166" fontId="0" fillId="0" borderId="20" xfId="0" applyNumberFormat="1" applyBorder="1"/>
    <xf numFmtId="166" fontId="4" fillId="0" borderId="32" xfId="0" applyNumberFormat="1" applyFont="1" applyBorder="1"/>
    <xf numFmtId="0" fontId="0" fillId="0" borderId="21" xfId="0" applyBorder="1"/>
    <xf numFmtId="0" fontId="0" fillId="0" borderId="11" xfId="0" applyBorder="1"/>
    <xf numFmtId="0" fontId="0" fillId="0" borderId="28" xfId="0" applyBorder="1"/>
    <xf numFmtId="0" fontId="0" fillId="0" borderId="22" xfId="0" applyBorder="1"/>
    <xf numFmtId="0" fontId="2" fillId="2" borderId="8" xfId="0" applyFont="1" applyFill="1" applyBorder="1" applyAlignment="1">
      <alignment horizontal="center"/>
    </xf>
    <xf numFmtId="0" fontId="0" fillId="0" borderId="27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 indent="1"/>
    </xf>
    <xf numFmtId="165" fontId="0" fillId="0" borderId="5" xfId="1" applyNumberFormat="1" applyFont="1" applyBorder="1"/>
    <xf numFmtId="165" fontId="0" fillId="0" borderId="6" xfId="1" applyNumberFormat="1" applyFont="1" applyBorder="1"/>
    <xf numFmtId="14" fontId="0" fillId="0" borderId="5" xfId="0" applyNumberFormat="1" applyBorder="1"/>
    <xf numFmtId="14" fontId="0" fillId="0" borderId="2" xfId="0" applyNumberFormat="1" applyBorder="1"/>
    <xf numFmtId="0" fontId="0" fillId="0" borderId="9" xfId="0" applyBorder="1"/>
    <xf numFmtId="0" fontId="0" fillId="0" borderId="7" xfId="0" applyBorder="1"/>
    <xf numFmtId="166" fontId="0" fillId="0" borderId="2" xfId="0" applyNumberFormat="1" applyBorder="1"/>
    <xf numFmtId="0" fontId="0" fillId="0" borderId="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2" fillId="2" borderId="13" xfId="0" applyFont="1" applyFill="1" applyBorder="1"/>
    <xf numFmtId="0" fontId="0" fillId="2" borderId="14" xfId="0" applyFill="1" applyBorder="1"/>
    <xf numFmtId="0" fontId="0" fillId="0" borderId="22" xfId="0" applyBorder="1" applyAlignment="1">
      <alignment vertical="center"/>
    </xf>
    <xf numFmtId="0" fontId="0" fillId="0" borderId="34" xfId="0" applyBorder="1" applyAlignment="1">
      <alignment vertical="center"/>
    </xf>
    <xf numFmtId="166" fontId="9" fillId="5" borderId="35" xfId="2" applyNumberFormat="1" applyFont="1" applyFill="1" applyBorder="1"/>
    <xf numFmtId="0" fontId="0" fillId="0" borderId="45" xfId="0" applyBorder="1"/>
    <xf numFmtId="166" fontId="0" fillId="0" borderId="46" xfId="0" applyNumberFormat="1" applyBorder="1"/>
    <xf numFmtId="166" fontId="0" fillId="0" borderId="16" xfId="0" applyNumberFormat="1" applyBorder="1"/>
    <xf numFmtId="166" fontId="0" fillId="0" borderId="48" xfId="0" applyNumberFormat="1" applyBorder="1"/>
    <xf numFmtId="166" fontId="0" fillId="0" borderId="49" xfId="0" applyNumberFormat="1" applyBorder="1"/>
    <xf numFmtId="166" fontId="0" fillId="0" borderId="45" xfId="0" applyNumberFormat="1" applyBorder="1"/>
    <xf numFmtId="166" fontId="0" fillId="0" borderId="51" xfId="0" applyNumberFormat="1" applyBorder="1"/>
    <xf numFmtId="0" fontId="0" fillId="0" borderId="52" xfId="0" applyBorder="1"/>
    <xf numFmtId="167" fontId="0" fillId="0" borderId="0" xfId="0" applyNumberFormat="1"/>
    <xf numFmtId="0" fontId="0" fillId="0" borderId="36" xfId="0" applyBorder="1"/>
    <xf numFmtId="0" fontId="0" fillId="0" borderId="41" xfId="0" applyBorder="1"/>
    <xf numFmtId="0" fontId="0" fillId="0" borderId="24" xfId="0" applyBorder="1"/>
    <xf numFmtId="0" fontId="0" fillId="0" borderId="23" xfId="0" applyBorder="1"/>
    <xf numFmtId="0" fontId="0" fillId="0" borderId="25" xfId="0" applyBorder="1"/>
    <xf numFmtId="166" fontId="0" fillId="0" borderId="0" xfId="0" applyNumberFormat="1"/>
    <xf numFmtId="43" fontId="0" fillId="0" borderId="0" xfId="0" applyNumberFormat="1"/>
    <xf numFmtId="0" fontId="0" fillId="0" borderId="40" xfId="0" applyBorder="1"/>
    <xf numFmtId="0" fontId="0" fillId="0" borderId="37" xfId="0" applyBorder="1"/>
    <xf numFmtId="0" fontId="0" fillId="0" borderId="43" xfId="0" applyBorder="1"/>
    <xf numFmtId="43" fontId="0" fillId="0" borderId="0" xfId="1" applyFont="1" applyBorder="1"/>
    <xf numFmtId="43" fontId="0" fillId="0" borderId="41" xfId="1" applyFont="1" applyBorder="1"/>
    <xf numFmtId="43" fontId="0" fillId="0" borderId="23" xfId="1" applyFont="1" applyBorder="1"/>
    <xf numFmtId="43" fontId="0" fillId="0" borderId="25" xfId="1" applyFont="1" applyBorder="1"/>
    <xf numFmtId="0" fontId="0" fillId="0" borderId="35" xfId="0" applyBorder="1"/>
    <xf numFmtId="166" fontId="9" fillId="2" borderId="35" xfId="2" applyNumberFormat="1" applyFont="1" applyFill="1" applyBorder="1"/>
    <xf numFmtId="0" fontId="0" fillId="0" borderId="60" xfId="0" applyBorder="1"/>
    <xf numFmtId="0" fontId="2" fillId="2" borderId="35" xfId="0" applyFont="1" applyFill="1" applyBorder="1"/>
    <xf numFmtId="166" fontId="0" fillId="0" borderId="32" xfId="0" applyNumberFormat="1" applyBorder="1"/>
    <xf numFmtId="166" fontId="0" fillId="0" borderId="60" xfId="0" applyNumberFormat="1" applyBorder="1"/>
    <xf numFmtId="166" fontId="0" fillId="0" borderId="31" xfId="0" applyNumberFormat="1" applyBorder="1"/>
    <xf numFmtId="166" fontId="0" fillId="0" borderId="63" xfId="0" applyNumberFormat="1" applyBorder="1"/>
    <xf numFmtId="0" fontId="0" fillId="0" borderId="30" xfId="0" applyBorder="1" applyAlignment="1">
      <alignment horizontal="left" indent="1"/>
    </xf>
    <xf numFmtId="166" fontId="0" fillId="0" borderId="17" xfId="0" applyNumberFormat="1" applyBorder="1"/>
    <xf numFmtId="0" fontId="0" fillId="0" borderId="53" xfId="0" applyBorder="1"/>
    <xf numFmtId="0" fontId="0" fillId="0" borderId="54" xfId="0" applyBorder="1"/>
    <xf numFmtId="0" fontId="6" fillId="0" borderId="26" xfId="0" applyFont="1" applyBorder="1" applyAlignment="1">
      <alignment horizontal="left"/>
    </xf>
    <xf numFmtId="0" fontId="0" fillId="0" borderId="65" xfId="0" applyBorder="1" applyAlignment="1">
      <alignment horizontal="left" indent="1"/>
    </xf>
    <xf numFmtId="166" fontId="0" fillId="0" borderId="61" xfId="0" applyNumberFormat="1" applyBorder="1"/>
    <xf numFmtId="0" fontId="0" fillId="0" borderId="57" xfId="0" applyBorder="1"/>
    <xf numFmtId="0" fontId="0" fillId="0" borderId="58" xfId="0" applyBorder="1"/>
    <xf numFmtId="0" fontId="6" fillId="0" borderId="38" xfId="0" applyFont="1" applyBorder="1" applyAlignment="1">
      <alignment horizontal="left" indent="1"/>
    </xf>
    <xf numFmtId="0" fontId="6" fillId="0" borderId="62" xfId="0" applyFont="1" applyBorder="1" applyAlignment="1">
      <alignment horizontal="left" indent="1"/>
    </xf>
    <xf numFmtId="0" fontId="6" fillId="0" borderId="64" xfId="0" applyFont="1" applyBorder="1" applyAlignment="1">
      <alignment horizontal="left" indent="1"/>
    </xf>
    <xf numFmtId="38" fontId="0" fillId="0" borderId="0" xfId="1" applyNumberFormat="1" applyFont="1" applyBorder="1"/>
    <xf numFmtId="0" fontId="0" fillId="0" borderId="33" xfId="0" applyBorder="1"/>
    <xf numFmtId="166" fontId="0" fillId="0" borderId="3" xfId="0" applyNumberFormat="1" applyBorder="1"/>
    <xf numFmtId="0" fontId="0" fillId="0" borderId="63" xfId="0" applyBorder="1"/>
    <xf numFmtId="0" fontId="7" fillId="6" borderId="36" xfId="2" applyBorder="1"/>
    <xf numFmtId="0" fontId="8" fillId="7" borderId="36" xfId="3" applyBorder="1"/>
    <xf numFmtId="0" fontId="0" fillId="0" borderId="32" xfId="0" applyBorder="1"/>
    <xf numFmtId="0" fontId="0" fillId="0" borderId="56" xfId="0" applyBorder="1"/>
    <xf numFmtId="0" fontId="0" fillId="0" borderId="38" xfId="0" applyBorder="1"/>
    <xf numFmtId="0" fontId="2" fillId="2" borderId="36" xfId="0" applyFont="1" applyFill="1" applyBorder="1"/>
    <xf numFmtId="0" fontId="10" fillId="8" borderId="0" xfId="4" applyBorder="1" applyAlignment="1">
      <alignment horizontal="center"/>
    </xf>
    <xf numFmtId="0" fontId="7" fillId="6" borderId="36" xfId="2" applyBorder="1" applyAlignment="1">
      <alignment horizontal="center"/>
    </xf>
    <xf numFmtId="0" fontId="7" fillId="6" borderId="0" xfId="2" applyBorder="1" applyAlignment="1">
      <alignment horizontal="center"/>
    </xf>
    <xf numFmtId="0" fontId="7" fillId="6" borderId="41" xfId="2" applyBorder="1" applyAlignment="1">
      <alignment horizontal="center"/>
    </xf>
    <xf numFmtId="0" fontId="8" fillId="7" borderId="36" xfId="3" applyBorder="1" applyAlignment="1">
      <alignment horizontal="center"/>
    </xf>
    <xf numFmtId="0" fontId="8" fillId="7" borderId="0" xfId="3" applyBorder="1" applyAlignment="1">
      <alignment horizontal="center"/>
    </xf>
    <xf numFmtId="0" fontId="8" fillId="7" borderId="41" xfId="3" applyBorder="1" applyAlignment="1">
      <alignment horizontal="center"/>
    </xf>
    <xf numFmtId="0" fontId="10" fillId="8" borderId="36" xfId="4" applyBorder="1" applyAlignment="1">
      <alignment horizontal="center"/>
    </xf>
    <xf numFmtId="0" fontId="10" fillId="8" borderId="41" xfId="4" applyBorder="1" applyAlignment="1">
      <alignment horizontal="center"/>
    </xf>
    <xf numFmtId="167" fontId="0" fillId="0" borderId="11" xfId="0" applyNumberFormat="1" applyBorder="1"/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17" xfId="0" applyBorder="1"/>
    <xf numFmtId="167" fontId="0" fillId="0" borderId="1" xfId="0" applyNumberFormat="1" applyBorder="1"/>
    <xf numFmtId="167" fontId="0" fillId="0" borderId="28" xfId="0" applyNumberFormat="1" applyBorder="1"/>
    <xf numFmtId="167" fontId="0" fillId="0" borderId="4" xfId="0" applyNumberFormat="1" applyBorder="1"/>
    <xf numFmtId="167" fontId="0" fillId="0" borderId="6" xfId="0" applyNumberFormat="1" applyBorder="1"/>
    <xf numFmtId="0" fontId="0" fillId="0" borderId="18" xfId="0" applyBorder="1" applyAlignment="1">
      <alignment horizontal="right" indent="1"/>
    </xf>
    <xf numFmtId="167" fontId="0" fillId="0" borderId="1" xfId="1" applyNumberFormat="1" applyFont="1" applyBorder="1"/>
    <xf numFmtId="167" fontId="0" fillId="0" borderId="11" xfId="1" applyNumberFormat="1" applyFont="1" applyBorder="1"/>
    <xf numFmtId="167" fontId="0" fillId="0" borderId="5" xfId="1" applyNumberFormat="1" applyFont="1" applyBorder="1"/>
    <xf numFmtId="167" fontId="0" fillId="0" borderId="6" xfId="1" applyNumberFormat="1" applyFont="1" applyBorder="1"/>
    <xf numFmtId="167" fontId="0" fillId="0" borderId="1" xfId="1" applyNumberFormat="1" applyFont="1" applyFill="1" applyBorder="1"/>
    <xf numFmtId="167" fontId="0" fillId="0" borderId="11" xfId="1" applyNumberFormat="1" applyFont="1" applyFill="1" applyBorder="1"/>
    <xf numFmtId="167" fontId="0" fillId="0" borderId="15" xfId="1" applyNumberFormat="1" applyFont="1" applyBorder="1"/>
    <xf numFmtId="167" fontId="0" fillId="0" borderId="15" xfId="1" applyNumberFormat="1" applyFont="1" applyFill="1" applyBorder="1"/>
    <xf numFmtId="0" fontId="0" fillId="0" borderId="10" xfId="0" applyBorder="1" applyAlignment="1">
      <alignment horizontal="left" indent="1"/>
    </xf>
    <xf numFmtId="0" fontId="6" fillId="0" borderId="8" xfId="0" applyFont="1" applyBorder="1" applyAlignment="1">
      <alignment horizontal="left" indent="1"/>
    </xf>
    <xf numFmtId="166" fontId="9" fillId="3" borderId="55" xfId="2" applyNumberFormat="1" applyFont="1" applyFill="1" applyBorder="1"/>
    <xf numFmtId="166" fontId="0" fillId="0" borderId="47" xfId="0" applyNumberFormat="1" applyBorder="1"/>
    <xf numFmtId="166" fontId="0" fillId="2" borderId="35" xfId="0" applyNumberFormat="1" applyFill="1" applyBorder="1"/>
    <xf numFmtId="0" fontId="0" fillId="0" borderId="54" xfId="0" applyBorder="1" applyAlignment="1">
      <alignment horizontal="left" indent="1"/>
    </xf>
    <xf numFmtId="0" fontId="0" fillId="0" borderId="59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35" xfId="0" applyBorder="1" applyAlignment="1">
      <alignment horizontal="left"/>
    </xf>
    <xf numFmtId="166" fontId="0" fillId="0" borderId="53" xfId="0" applyNumberFormat="1" applyBorder="1"/>
    <xf numFmtId="166" fontId="0" fillId="0" borderId="54" xfId="0" applyNumberFormat="1" applyBorder="1"/>
    <xf numFmtId="166" fontId="0" fillId="0" borderId="57" xfId="0" applyNumberFormat="1" applyBorder="1"/>
    <xf numFmtId="166" fontId="0" fillId="0" borderId="58" xfId="0" applyNumberFormat="1" applyBorder="1"/>
    <xf numFmtId="166" fontId="0" fillId="3" borderId="35" xfId="0" applyNumberFormat="1" applyFill="1" applyBorder="1"/>
    <xf numFmtId="166" fontId="0" fillId="0" borderId="59" xfId="0" applyNumberForma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20" xfId="0" applyBorder="1"/>
    <xf numFmtId="0" fontId="6" fillId="0" borderId="28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6" fillId="0" borderId="18" xfId="0" applyFont="1" applyBorder="1" applyAlignment="1">
      <alignment horizontal="left"/>
    </xf>
    <xf numFmtId="0" fontId="2" fillId="2" borderId="55" xfId="0" applyFont="1" applyFill="1" applyBorder="1"/>
    <xf numFmtId="166" fontId="9" fillId="2" borderId="52" xfId="2" applyNumberFormat="1" applyFont="1" applyFill="1" applyBorder="1"/>
    <xf numFmtId="166" fontId="0" fillId="3" borderId="55" xfId="0" applyNumberFormat="1" applyFill="1" applyBorder="1"/>
    <xf numFmtId="0" fontId="0" fillId="0" borderId="50" xfId="0" applyBorder="1"/>
    <xf numFmtId="0" fontId="0" fillId="0" borderId="58" xfId="0" applyBorder="1" applyAlignment="1">
      <alignment horizontal="left" indent="1"/>
    </xf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52" xfId="0" applyBorder="1" applyAlignment="1">
      <alignment horizontal="center" vertical="center"/>
    </xf>
    <xf numFmtId="167" fontId="6" fillId="0" borderId="1" xfId="0" applyNumberFormat="1" applyFont="1" applyBorder="1"/>
    <xf numFmtId="166" fontId="6" fillId="0" borderId="20" xfId="0" applyNumberFormat="1" applyFont="1" applyBorder="1"/>
    <xf numFmtId="167" fontId="0" fillId="0" borderId="41" xfId="0" applyNumberFormat="1" applyBorder="1"/>
    <xf numFmtId="167" fontId="0" fillId="0" borderId="54" xfId="0" applyNumberFormat="1" applyBorder="1" applyAlignment="1">
      <alignment horizontal="center"/>
    </xf>
    <xf numFmtId="167" fontId="0" fillId="0" borderId="66" xfId="0" applyNumberFormat="1" applyBorder="1" applyAlignment="1">
      <alignment horizontal="center"/>
    </xf>
    <xf numFmtId="167" fontId="0" fillId="0" borderId="67" xfId="0" applyNumberFormat="1" applyBorder="1" applyAlignment="1">
      <alignment horizontal="center"/>
    </xf>
    <xf numFmtId="167" fontId="0" fillId="0" borderId="68" xfId="0" applyNumberFormat="1" applyBorder="1" applyAlignment="1">
      <alignment horizontal="center"/>
    </xf>
    <xf numFmtId="167" fontId="0" fillId="0" borderId="53" xfId="0" applyNumberFormat="1" applyBorder="1" applyAlignment="1">
      <alignment horizontal="center"/>
    </xf>
    <xf numFmtId="167" fontId="0" fillId="0" borderId="59" xfId="0" applyNumberFormat="1" applyBorder="1" applyAlignment="1">
      <alignment horizontal="center"/>
    </xf>
    <xf numFmtId="167" fontId="0" fillId="0" borderId="36" xfId="0" applyNumberFormat="1" applyBorder="1"/>
    <xf numFmtId="167" fontId="0" fillId="0" borderId="35" xfId="0" applyNumberFormat="1" applyBorder="1"/>
    <xf numFmtId="167" fontId="0" fillId="0" borderId="25" xfId="0" applyNumberFormat="1" applyBorder="1"/>
    <xf numFmtId="0" fontId="6" fillId="0" borderId="37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167" fontId="0" fillId="5" borderId="1" xfId="1" applyNumberFormat="1" applyFont="1" applyFill="1" applyBorder="1"/>
    <xf numFmtId="167" fontId="0" fillId="5" borderId="11" xfId="1" applyNumberFormat="1" applyFont="1" applyFill="1" applyBorder="1"/>
    <xf numFmtId="0" fontId="6" fillId="0" borderId="6" xfId="0" applyFont="1" applyBorder="1" applyAlignment="1">
      <alignment horizontal="center"/>
    </xf>
    <xf numFmtId="0" fontId="2" fillId="0" borderId="1" xfId="0" applyFont="1" applyBorder="1"/>
    <xf numFmtId="0" fontId="11" fillId="0" borderId="0" xfId="0" applyFont="1"/>
    <xf numFmtId="0" fontId="11" fillId="2" borderId="15" xfId="0" applyFont="1" applyFill="1" applyBorder="1" applyAlignment="1">
      <alignment horizontal="center" vertical="center"/>
    </xf>
    <xf numFmtId="164" fontId="11" fillId="2" borderId="15" xfId="1" applyNumberFormat="1" applyFont="1" applyFill="1" applyBorder="1"/>
    <xf numFmtId="0" fontId="0" fillId="0" borderId="1" xfId="0" applyBorder="1" applyAlignment="1">
      <alignment horizontal="left" indent="2"/>
    </xf>
    <xf numFmtId="167" fontId="0" fillId="0" borderId="3" xfId="0" applyNumberForma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37" fontId="6" fillId="0" borderId="11" xfId="0" applyNumberFormat="1" applyFont="1" applyBorder="1" applyAlignment="1">
      <alignment horizontal="center"/>
    </xf>
    <xf numFmtId="167" fontId="0" fillId="0" borderId="11" xfId="0" applyNumberFormat="1" applyBorder="1" applyAlignment="1">
      <alignment horizontal="left" indent="2"/>
    </xf>
    <xf numFmtId="167" fontId="0" fillId="0" borderId="11" xfId="0" applyNumberFormat="1" applyBorder="1" applyAlignment="1">
      <alignment horizontal="left"/>
    </xf>
    <xf numFmtId="167" fontId="6" fillId="0" borderId="11" xfId="0" applyNumberFormat="1" applyFont="1" applyBorder="1"/>
    <xf numFmtId="167" fontId="0" fillId="0" borderId="6" xfId="0" applyNumberFormat="1" applyBorder="1" applyAlignment="1">
      <alignment horizontal="left" indent="2"/>
    </xf>
    <xf numFmtId="167" fontId="0" fillId="0" borderId="3" xfId="0" applyNumberFormat="1" applyBorder="1" applyAlignment="1">
      <alignment horizontal="left" indent="2"/>
    </xf>
    <xf numFmtId="0" fontId="6" fillId="0" borderId="66" xfId="0" applyFont="1" applyBorder="1"/>
    <xf numFmtId="0" fontId="6" fillId="0" borderId="67" xfId="0" applyFont="1" applyBorder="1" applyAlignment="1">
      <alignment horizontal="left" indent="2"/>
    </xf>
    <xf numFmtId="0" fontId="0" fillId="0" borderId="67" xfId="0" applyBorder="1" applyAlignment="1">
      <alignment horizontal="left" indent="2"/>
    </xf>
    <xf numFmtId="0" fontId="0" fillId="0" borderId="67" xfId="0" applyBorder="1"/>
    <xf numFmtId="0" fontId="6" fillId="0" borderId="67" xfId="0" applyFont="1" applyBorder="1"/>
    <xf numFmtId="0" fontId="0" fillId="0" borderId="68" xfId="0" applyBorder="1"/>
    <xf numFmtId="0" fontId="0" fillId="0" borderId="68" xfId="0" applyBorder="1" applyAlignment="1">
      <alignment horizontal="left" indent="2"/>
    </xf>
    <xf numFmtId="0" fontId="6" fillId="0" borderId="4" xfId="0" applyFont="1" applyBorder="1" applyAlignment="1">
      <alignment horizontal="center"/>
    </xf>
    <xf numFmtId="167" fontId="0" fillId="0" borderId="27" xfId="0" applyNumberFormat="1" applyBorder="1" applyAlignment="1">
      <alignment horizontal="center"/>
    </xf>
    <xf numFmtId="167" fontId="0" fillId="0" borderId="28" xfId="0" applyNumberFormat="1" applyBorder="1" applyAlignment="1">
      <alignment horizontal="center"/>
    </xf>
    <xf numFmtId="167" fontId="0" fillId="0" borderId="28" xfId="0" applyNumberFormat="1" applyBorder="1" applyAlignment="1">
      <alignment horizontal="left" indent="2"/>
    </xf>
    <xf numFmtId="167" fontId="0" fillId="0" borderId="28" xfId="0" applyNumberFormat="1" applyBorder="1" applyAlignment="1">
      <alignment horizontal="left"/>
    </xf>
    <xf numFmtId="167" fontId="6" fillId="0" borderId="28" xfId="0" applyNumberFormat="1" applyFont="1" applyBorder="1"/>
    <xf numFmtId="167" fontId="0" fillId="0" borderId="4" xfId="0" applyNumberFormat="1" applyBorder="1" applyAlignment="1">
      <alignment horizontal="left" indent="2"/>
    </xf>
    <xf numFmtId="167" fontId="0" fillId="0" borderId="27" xfId="0" applyNumberFormat="1" applyBorder="1" applyAlignment="1">
      <alignment horizontal="left" indent="2"/>
    </xf>
    <xf numFmtId="0" fontId="0" fillId="0" borderId="1" xfId="0" applyBorder="1" applyAlignment="1">
      <alignment horizontal="left" vertical="center"/>
    </xf>
    <xf numFmtId="38" fontId="0" fillId="0" borderId="1" xfId="0" applyNumberFormat="1" applyBorder="1"/>
    <xf numFmtId="167" fontId="0" fillId="0" borderId="39" xfId="0" applyNumberFormat="1" applyBorder="1"/>
    <xf numFmtId="0" fontId="0" fillId="0" borderId="55" xfId="0" applyBorder="1" applyAlignment="1">
      <alignment horizontal="left"/>
    </xf>
    <xf numFmtId="0" fontId="0" fillId="0" borderId="52" xfId="0" applyBorder="1" applyAlignment="1">
      <alignment horizontal="left" indent="1"/>
    </xf>
    <xf numFmtId="0" fontId="0" fillId="0" borderId="37" xfId="0" applyBorder="1" applyAlignment="1">
      <alignment horizontal="left" indent="1"/>
    </xf>
    <xf numFmtId="166" fontId="0" fillId="0" borderId="14" xfId="0" applyNumberFormat="1" applyBorder="1"/>
    <xf numFmtId="0" fontId="0" fillId="0" borderId="1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" fillId="4" borderId="39" xfId="0" applyFont="1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167" fontId="0" fillId="0" borderId="24" xfId="0" applyNumberFormat="1" applyBorder="1" applyAlignment="1">
      <alignment horizontal="center"/>
    </xf>
    <xf numFmtId="167" fontId="0" fillId="0" borderId="42" xfId="0" applyNumberForma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7" fontId="0" fillId="0" borderId="25" xfId="0" applyNumberForma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6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0" borderId="0" xfId="0" applyFont="1"/>
    <xf numFmtId="0" fontId="0" fillId="0" borderId="66" xfId="0" applyFont="1" applyBorder="1" applyAlignment="1">
      <alignment horizontal="center"/>
    </xf>
    <xf numFmtId="0" fontId="0" fillId="0" borderId="62" xfId="0" applyFont="1" applyBorder="1" applyAlignment="1">
      <alignment horizontal="center"/>
    </xf>
    <xf numFmtId="0" fontId="0" fillId="0" borderId="69" xfId="0" applyFont="1" applyBorder="1" applyAlignment="1">
      <alignment horizontal="center"/>
    </xf>
    <xf numFmtId="0" fontId="0" fillId="0" borderId="67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70" xfId="0" applyFont="1" applyBorder="1" applyAlignment="1">
      <alignment horizontal="center"/>
    </xf>
    <xf numFmtId="0" fontId="0" fillId="0" borderId="68" xfId="0" applyFont="1" applyBorder="1" applyAlignment="1">
      <alignment horizontal="center"/>
    </xf>
    <xf numFmtId="0" fontId="0" fillId="0" borderId="64" xfId="0" applyFont="1" applyBorder="1" applyAlignment="1">
      <alignment horizontal="center"/>
    </xf>
    <xf numFmtId="0" fontId="0" fillId="0" borderId="71" xfId="0" applyFont="1" applyBorder="1" applyAlignment="1">
      <alignment horizontal="center"/>
    </xf>
    <xf numFmtId="0" fontId="0" fillId="5" borderId="39" xfId="0" applyFont="1" applyFill="1" applyBorder="1" applyAlignment="1">
      <alignment horizontal="center"/>
    </xf>
    <xf numFmtId="0" fontId="0" fillId="5" borderId="38" xfId="0" applyFont="1" applyFill="1" applyBorder="1" applyAlignment="1">
      <alignment horizontal="center"/>
    </xf>
    <xf numFmtId="0" fontId="0" fillId="5" borderId="42" xfId="0" applyFont="1" applyFill="1" applyBorder="1" applyAlignment="1">
      <alignment horizontal="center"/>
    </xf>
    <xf numFmtId="168" fontId="0" fillId="0" borderId="0" xfId="0" applyNumberFormat="1" applyFont="1"/>
    <xf numFmtId="0" fontId="12" fillId="0" borderId="1" xfId="0" applyFont="1" applyBorder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168" fontId="12" fillId="0" borderId="1" xfId="0" applyNumberFormat="1" applyFont="1" applyBorder="1" applyAlignment="1">
      <alignment horizontal="center" vertical="center"/>
    </xf>
    <xf numFmtId="168" fontId="12" fillId="0" borderId="1" xfId="0" applyNumberFormat="1" applyFont="1" applyBorder="1" applyAlignment="1">
      <alignment vertical="center"/>
    </xf>
    <xf numFmtId="0" fontId="12" fillId="9" borderId="1" xfId="0" applyFont="1" applyFill="1" applyBorder="1" applyAlignment="1">
      <alignment horizontal="right" vertical="center"/>
    </xf>
    <xf numFmtId="0" fontId="12" fillId="9" borderId="1" xfId="0" applyFont="1" applyFill="1" applyBorder="1" applyAlignment="1">
      <alignment horizontal="left" vertical="center"/>
    </xf>
    <xf numFmtId="0" fontId="12" fillId="9" borderId="1" xfId="0" applyFont="1" applyFill="1" applyBorder="1"/>
    <xf numFmtId="168" fontId="12" fillId="9" borderId="1" xfId="0" applyNumberFormat="1" applyFont="1" applyFill="1" applyBorder="1" applyAlignment="1">
      <alignment vertical="center"/>
    </xf>
    <xf numFmtId="0" fontId="12" fillId="0" borderId="1" xfId="0" applyFont="1" applyBorder="1" applyAlignment="1">
      <alignment horizontal="right" vertical="center"/>
    </xf>
    <xf numFmtId="0" fontId="12" fillId="0" borderId="1" xfId="0" applyFont="1" applyBorder="1"/>
    <xf numFmtId="0" fontId="13" fillId="0" borderId="0" xfId="0" applyFont="1"/>
    <xf numFmtId="0" fontId="12" fillId="9" borderId="22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right"/>
    </xf>
    <xf numFmtId="167" fontId="0" fillId="0" borderId="1" xfId="0" applyNumberFormat="1" applyFont="1" applyBorder="1"/>
    <xf numFmtId="14" fontId="0" fillId="0" borderId="1" xfId="0" applyNumberFormat="1" applyFont="1" applyBorder="1" applyAlignment="1">
      <alignment horizontal="center"/>
    </xf>
    <xf numFmtId="0" fontId="0" fillId="2" borderId="1" xfId="0" applyFont="1" applyFill="1" applyBorder="1"/>
    <xf numFmtId="14" fontId="0" fillId="0" borderId="15" xfId="0" applyNumberFormat="1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5" xfId="0" applyFont="1" applyBorder="1"/>
    <xf numFmtId="1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38" fontId="0" fillId="0" borderId="0" xfId="0" applyNumberFormat="1" applyFont="1"/>
    <xf numFmtId="166" fontId="0" fillId="0" borderId="74" xfId="1" applyNumberFormat="1" applyFont="1" applyBorder="1"/>
    <xf numFmtId="166" fontId="4" fillId="0" borderId="42" xfId="0" applyNumberFormat="1" applyFont="1" applyBorder="1"/>
    <xf numFmtId="0" fontId="0" fillId="0" borderId="0" xfId="0" applyFill="1"/>
    <xf numFmtId="0" fontId="0" fillId="0" borderId="75" xfId="0" applyBorder="1"/>
    <xf numFmtId="0" fontId="0" fillId="0" borderId="34" xfId="0" applyBorder="1"/>
    <xf numFmtId="166" fontId="0" fillId="0" borderId="73" xfId="0" applyNumberFormat="1" applyBorder="1"/>
    <xf numFmtId="0" fontId="0" fillId="0" borderId="73" xfId="0" applyBorder="1"/>
    <xf numFmtId="0" fontId="12" fillId="0" borderId="1" xfId="0" applyFont="1" applyBorder="1" applyAlignment="1">
      <alignment vertical="center"/>
    </xf>
    <xf numFmtId="0" fontId="0" fillId="0" borderId="8" xfId="0" applyBorder="1"/>
    <xf numFmtId="0" fontId="0" fillId="0" borderId="35" xfId="0" applyBorder="1" applyAlignment="1">
      <alignment horizontal="center"/>
    </xf>
    <xf numFmtId="0" fontId="0" fillId="0" borderId="51" xfId="0" applyBorder="1"/>
    <xf numFmtId="166" fontId="4" fillId="0" borderId="38" xfId="0" applyNumberFormat="1" applyFont="1" applyBorder="1"/>
    <xf numFmtId="0" fontId="0" fillId="0" borderId="0" xfId="0" applyBorder="1" applyAlignment="1">
      <alignment horizontal="center"/>
    </xf>
    <xf numFmtId="166" fontId="0" fillId="0" borderId="22" xfId="1" applyNumberFormat="1" applyFont="1" applyBorder="1"/>
    <xf numFmtId="0" fontId="0" fillId="0" borderId="10" xfId="0" applyBorder="1"/>
    <xf numFmtId="0" fontId="0" fillId="0" borderId="29" xfId="0" applyBorder="1"/>
    <xf numFmtId="166" fontId="0" fillId="0" borderId="18" xfId="1" applyNumberFormat="1" applyFont="1" applyBorder="1"/>
    <xf numFmtId="166" fontId="0" fillId="0" borderId="21" xfId="1" applyNumberFormat="1" applyFont="1" applyBorder="1"/>
    <xf numFmtId="166" fontId="0" fillId="0" borderId="10" xfId="1" applyNumberFormat="1" applyFont="1" applyBorder="1"/>
    <xf numFmtId="166" fontId="0" fillId="0" borderId="29" xfId="1" applyNumberFormat="1" applyFont="1" applyBorder="1"/>
    <xf numFmtId="166" fontId="4" fillId="0" borderId="12" xfId="0" applyNumberFormat="1" applyFont="1" applyBorder="1"/>
    <xf numFmtId="0" fontId="0" fillId="0" borderId="7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0" borderId="27" xfId="0" applyFill="1" applyBorder="1"/>
    <xf numFmtId="0" fontId="0" fillId="10" borderId="2" xfId="0" applyFill="1" applyBorder="1"/>
    <xf numFmtId="0" fontId="0" fillId="10" borderId="3" xfId="0" applyFill="1" applyBorder="1"/>
    <xf numFmtId="166" fontId="0" fillId="10" borderId="27" xfId="1" applyNumberFormat="1" applyFont="1" applyFill="1" applyBorder="1"/>
    <xf numFmtId="166" fontId="0" fillId="10" borderId="3" xfId="1" applyNumberFormat="1" applyFont="1" applyFill="1" applyBorder="1"/>
    <xf numFmtId="166" fontId="0" fillId="10" borderId="18" xfId="1" applyNumberFormat="1" applyFont="1" applyFill="1" applyBorder="1"/>
    <xf numFmtId="166" fontId="0" fillId="10" borderId="21" xfId="1" applyNumberFormat="1" applyFont="1" applyFill="1" applyBorder="1"/>
    <xf numFmtId="0" fontId="12" fillId="0" borderId="1" xfId="0" applyFont="1" applyFill="1" applyBorder="1"/>
    <xf numFmtId="166" fontId="0" fillId="0" borderId="56" xfId="0" applyNumberFormat="1" applyBorder="1"/>
    <xf numFmtId="0" fontId="0" fillId="0" borderId="28" xfId="0" applyFont="1" applyBorder="1" applyAlignment="1">
      <alignment horizontal="left" indent="1"/>
    </xf>
    <xf numFmtId="0" fontId="0" fillId="0" borderId="18" xfId="0" applyFont="1" applyBorder="1" applyAlignment="1">
      <alignment horizontal="left" indent="1"/>
    </xf>
    <xf numFmtId="0" fontId="0" fillId="0" borderId="16" xfId="0" applyBorder="1" applyAlignment="1">
      <alignment horizontal="left" indent="1"/>
    </xf>
    <xf numFmtId="0" fontId="0" fillId="0" borderId="0" xfId="0" applyAlignment="1"/>
    <xf numFmtId="0" fontId="6" fillId="0" borderId="53" xfId="0" applyFont="1" applyBorder="1" applyAlignment="1">
      <alignment horizontal="left"/>
    </xf>
    <xf numFmtId="0" fontId="6" fillId="0" borderId="56" xfId="0" applyFont="1" applyBorder="1" applyAlignment="1">
      <alignment horizontal="left"/>
    </xf>
    <xf numFmtId="0" fontId="0" fillId="0" borderId="65" xfId="0" applyFont="1" applyBorder="1" applyAlignment="1">
      <alignment horizontal="left" indent="1"/>
    </xf>
    <xf numFmtId="0" fontId="0" fillId="0" borderId="57" xfId="0" applyFont="1" applyBorder="1" applyAlignment="1">
      <alignment horizontal="left" indent="1"/>
    </xf>
    <xf numFmtId="0" fontId="6" fillId="0" borderId="23" xfId="0" applyFont="1" applyBorder="1" applyAlignment="1">
      <alignment horizontal="left" indent="1"/>
    </xf>
    <xf numFmtId="166" fontId="0" fillId="0" borderId="72" xfId="0" applyNumberFormat="1" applyBorder="1"/>
    <xf numFmtId="0" fontId="6" fillId="0" borderId="0" xfId="0" applyFont="1" applyBorder="1" applyAlignment="1">
      <alignment horizontal="left"/>
    </xf>
    <xf numFmtId="0" fontId="6" fillId="0" borderId="58" xfId="0" applyFont="1" applyBorder="1" applyAlignment="1">
      <alignment horizontal="left"/>
    </xf>
    <xf numFmtId="0" fontId="6" fillId="0" borderId="30" xfId="0" applyFont="1" applyBorder="1" applyAlignment="1">
      <alignment horizontal="left"/>
    </xf>
  </cellXfs>
  <cellStyles count="5">
    <cellStyle name="Bad" xfId="3" builtinId="27"/>
    <cellStyle name="Comma" xfId="1" builtinId="3"/>
    <cellStyle name="Good" xfId="2" builtinId="26"/>
    <cellStyle name="Neutral" xfId="4" builtinId="28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5A35-80E1-42E1-814F-97C1F92EC70B}"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B5B4-AFDD-45C9-AD00-EFD0187A97F0}">
  <dimension ref="B3:E20"/>
  <sheetViews>
    <sheetView topLeftCell="A13" workbookViewId="0">
      <selection activeCell="E50" sqref="E50"/>
    </sheetView>
  </sheetViews>
  <sheetFormatPr defaultRowHeight="14.4" x14ac:dyDescent="0.3"/>
  <cols>
    <col min="2" max="2" width="24" customWidth="1"/>
    <col min="4" max="4" width="14.6640625" bestFit="1" customWidth="1"/>
    <col min="5" max="5" width="9" customWidth="1"/>
  </cols>
  <sheetData>
    <row r="3" spans="2:5" x14ac:dyDescent="0.3">
      <c r="B3" s="1" t="s">
        <v>71</v>
      </c>
      <c r="C3" s="1"/>
      <c r="D3" s="8"/>
      <c r="E3" s="8">
        <v>0</v>
      </c>
    </row>
    <row r="4" spans="2:5" x14ac:dyDescent="0.3">
      <c r="B4" s="1"/>
      <c r="C4" s="1"/>
      <c r="D4" s="8"/>
      <c r="E4" s="8"/>
    </row>
    <row r="5" spans="2:5" x14ac:dyDescent="0.3">
      <c r="B5" s="1" t="s">
        <v>72</v>
      </c>
      <c r="C5" s="1"/>
      <c r="D5" s="8">
        <v>118000000</v>
      </c>
      <c r="E5" s="8"/>
    </row>
    <row r="6" spans="2:5" x14ac:dyDescent="0.3">
      <c r="B6" s="1" t="s">
        <v>73</v>
      </c>
      <c r="C6" s="1"/>
      <c r="D6" s="8">
        <v>0</v>
      </c>
      <c r="E6" s="8"/>
    </row>
    <row r="7" spans="2:5" x14ac:dyDescent="0.3">
      <c r="B7" s="1"/>
      <c r="C7" s="1"/>
      <c r="D7" s="8"/>
      <c r="E7" s="8"/>
    </row>
    <row r="8" spans="2:5" x14ac:dyDescent="0.3">
      <c r="B8" s="1" t="s">
        <v>74</v>
      </c>
      <c r="C8" s="9" t="s">
        <v>61</v>
      </c>
      <c r="D8" s="8">
        <f>SUM(D5:D6)</f>
        <v>118000000</v>
      </c>
      <c r="E8" s="8">
        <f>E3</f>
        <v>0</v>
      </c>
    </row>
    <row r="9" spans="2:5" x14ac:dyDescent="0.3">
      <c r="B9" s="1"/>
      <c r="C9" s="1"/>
      <c r="D9" s="8"/>
      <c r="E9" s="8"/>
    </row>
    <row r="10" spans="2:5" x14ac:dyDescent="0.3">
      <c r="B10" s="1" t="s">
        <v>75</v>
      </c>
      <c r="C10" s="1"/>
      <c r="D10" s="8">
        <v>0</v>
      </c>
      <c r="E10" s="8"/>
    </row>
    <row r="11" spans="2:5" x14ac:dyDescent="0.3">
      <c r="B11" s="1" t="s">
        <v>76</v>
      </c>
      <c r="C11" s="1"/>
      <c r="D11" s="8">
        <v>2010000</v>
      </c>
      <c r="E11" s="8"/>
    </row>
    <row r="12" spans="2:5" x14ac:dyDescent="0.3">
      <c r="B12" s="1" t="s">
        <v>77</v>
      </c>
      <c r="C12" s="1"/>
      <c r="D12" s="8">
        <f>SUM(D10:D11)</f>
        <v>2010000</v>
      </c>
      <c r="E12" s="8"/>
    </row>
    <row r="13" spans="2:5" x14ac:dyDescent="0.3">
      <c r="B13" s="1"/>
      <c r="C13" s="1"/>
      <c r="D13" s="8"/>
      <c r="E13" s="8"/>
    </row>
    <row r="14" spans="2:5" x14ac:dyDescent="0.3">
      <c r="B14" s="1" t="s">
        <v>78</v>
      </c>
      <c r="C14" s="9" t="s">
        <v>61</v>
      </c>
      <c r="D14" s="8">
        <f>D8-D12</f>
        <v>115990000</v>
      </c>
      <c r="E14" s="8">
        <f>SUM(E10:E12)</f>
        <v>0</v>
      </c>
    </row>
    <row r="15" spans="2:5" x14ac:dyDescent="0.3">
      <c r="B15" s="1"/>
      <c r="C15" s="1"/>
      <c r="D15" s="8"/>
      <c r="E15" s="8"/>
    </row>
    <row r="16" spans="2:5" x14ac:dyDescent="0.3">
      <c r="B16" s="1" t="s">
        <v>79</v>
      </c>
      <c r="C16" s="1"/>
      <c r="D16" s="8">
        <v>0</v>
      </c>
      <c r="E16" s="8"/>
    </row>
    <row r="17" spans="2:5" x14ac:dyDescent="0.3">
      <c r="B17" s="1"/>
      <c r="C17" s="1"/>
      <c r="D17" s="8"/>
      <c r="E17" s="8"/>
    </row>
    <row r="18" spans="2:5" x14ac:dyDescent="0.3">
      <c r="B18" s="1" t="s">
        <v>80</v>
      </c>
      <c r="C18" s="1"/>
      <c r="D18" s="8">
        <v>127000000</v>
      </c>
      <c r="E18" s="8"/>
    </row>
    <row r="19" spans="2:5" x14ac:dyDescent="0.3">
      <c r="B19" s="1"/>
      <c r="C19" s="1"/>
      <c r="D19" s="8"/>
      <c r="E19" s="8"/>
    </row>
    <row r="20" spans="2:5" x14ac:dyDescent="0.3">
      <c r="B20" s="1" t="s">
        <v>81</v>
      </c>
      <c r="C20" s="1"/>
      <c r="D20" s="8">
        <f>D14-D16-D18</f>
        <v>-11010000</v>
      </c>
      <c r="E20" s="8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44BC6-AA02-4317-9B8C-CC7A2D078D8C}">
  <dimension ref="B1:E5"/>
  <sheetViews>
    <sheetView zoomScaleNormal="100" workbookViewId="0">
      <selection activeCell="D24" sqref="D24"/>
    </sheetView>
  </sheetViews>
  <sheetFormatPr defaultRowHeight="14.4" x14ac:dyDescent="0.3"/>
  <cols>
    <col min="1" max="1" width="8.21875" style="285" customWidth="1"/>
    <col min="2" max="2" width="8.88671875" style="285" customWidth="1"/>
    <col min="3" max="3" width="12.5546875" style="285" customWidth="1"/>
    <col min="4" max="4" width="76.21875" style="285" customWidth="1"/>
    <col min="5" max="5" width="17.88671875" style="285" customWidth="1"/>
    <col min="6" max="16384" width="8.88671875" style="285"/>
  </cols>
  <sheetData>
    <row r="1" spans="2:5" ht="15" thickBot="1" x14ac:dyDescent="0.35"/>
    <row r="2" spans="2:5" x14ac:dyDescent="0.3">
      <c r="B2" s="286" t="s">
        <v>168</v>
      </c>
      <c r="C2" s="287"/>
      <c r="D2" s="287"/>
      <c r="E2" s="288"/>
    </row>
    <row r="3" spans="2:5" x14ac:dyDescent="0.3">
      <c r="B3" s="289" t="s">
        <v>169</v>
      </c>
      <c r="C3" s="290"/>
      <c r="D3" s="290"/>
      <c r="E3" s="291"/>
    </row>
    <row r="4" spans="2:5" ht="15" thickBot="1" x14ac:dyDescent="0.35">
      <c r="B4" s="292" t="s">
        <v>167</v>
      </c>
      <c r="C4" s="293"/>
      <c r="D4" s="293"/>
      <c r="E4" s="294"/>
    </row>
    <row r="5" spans="2:5" ht="15" thickBot="1" x14ac:dyDescent="0.35">
      <c r="B5" s="295" t="s">
        <v>226</v>
      </c>
      <c r="C5" s="296"/>
      <c r="D5" s="296"/>
      <c r="E5" s="297"/>
    </row>
  </sheetData>
  <mergeCells count="4">
    <mergeCell ref="B2:E2"/>
    <mergeCell ref="B3:E3"/>
    <mergeCell ref="B4:E4"/>
    <mergeCell ref="B5:E5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3E01B-EEE0-49DB-9A17-AD57C2AD9178}">
  <sheetPr filterMode="1"/>
  <dimension ref="B2:L148"/>
  <sheetViews>
    <sheetView topLeftCell="A2" zoomScaleNormal="100" workbookViewId="0">
      <selection activeCell="P22" sqref="P22"/>
    </sheetView>
  </sheetViews>
  <sheetFormatPr defaultRowHeight="14.4" x14ac:dyDescent="0.3"/>
  <cols>
    <col min="1" max="2" width="8.88671875" style="285"/>
    <col min="3" max="3" width="8.77734375" style="285" customWidth="1"/>
    <col min="4" max="4" width="43.6640625" style="285" customWidth="1"/>
    <col min="5" max="5" width="8.88671875" style="285"/>
    <col min="6" max="6" width="10.88671875" style="285" customWidth="1"/>
    <col min="7" max="8" width="19" style="298" customWidth="1"/>
    <col min="9" max="9" width="8.88671875" style="285"/>
    <col min="10" max="10" width="10.33203125" hidden="1" customWidth="1"/>
    <col min="11" max="11" width="0" hidden="1" customWidth="1"/>
    <col min="12" max="16384" width="8.88671875" style="285"/>
  </cols>
  <sheetData>
    <row r="2" spans="2:12" ht="15.6" x14ac:dyDescent="0.3">
      <c r="C2" s="299">
        <f>'Transaksi (1)'!B2:E2</f>
        <v>0</v>
      </c>
      <c r="D2" s="299"/>
      <c r="E2" s="299"/>
      <c r="F2" s="299"/>
      <c r="G2" s="300"/>
      <c r="H2" s="300"/>
    </row>
    <row r="3" spans="2:12" ht="15.6" x14ac:dyDescent="0.3">
      <c r="C3" s="299" t="s">
        <v>151</v>
      </c>
      <c r="D3" s="299"/>
      <c r="E3" s="299"/>
      <c r="F3" s="299"/>
      <c r="G3" s="300"/>
      <c r="H3" s="300"/>
      <c r="L3" s="310" t="s">
        <v>180</v>
      </c>
    </row>
    <row r="4" spans="2:12" ht="15.6" x14ac:dyDescent="0.3">
      <c r="C4" s="299">
        <f>'Transaksi (1)'!B4:E4</f>
        <v>0</v>
      </c>
      <c r="D4" s="299"/>
      <c r="E4" s="299"/>
      <c r="F4" s="299"/>
      <c r="G4" s="300"/>
      <c r="H4" s="300"/>
    </row>
    <row r="5" spans="2:12" ht="15.6" x14ac:dyDescent="0.3">
      <c r="C5" s="301" t="s">
        <v>0</v>
      </c>
      <c r="D5" s="301" t="s">
        <v>1</v>
      </c>
      <c r="E5" s="301" t="s">
        <v>2</v>
      </c>
      <c r="F5" s="301" t="s">
        <v>3</v>
      </c>
      <c r="G5" s="302" t="s">
        <v>6</v>
      </c>
      <c r="H5" s="302"/>
    </row>
    <row r="6" spans="2:12" ht="15.6" x14ac:dyDescent="0.3">
      <c r="B6" s="285" t="s">
        <v>221</v>
      </c>
      <c r="C6" s="301"/>
      <c r="D6" s="301"/>
      <c r="E6" s="301"/>
      <c r="F6" s="301"/>
      <c r="G6" s="303" t="s">
        <v>4</v>
      </c>
      <c r="H6" s="303" t="s">
        <v>5</v>
      </c>
    </row>
    <row r="7" spans="2:12" ht="15.6" x14ac:dyDescent="0.3">
      <c r="B7" s="285">
        <f>IF(D7="",0,1)</f>
        <v>1</v>
      </c>
      <c r="C7" s="304">
        <v>10000</v>
      </c>
      <c r="D7" s="305" t="s">
        <v>131</v>
      </c>
      <c r="E7" s="306" t="s">
        <v>7</v>
      </c>
      <c r="F7" s="306" t="s">
        <v>8</v>
      </c>
      <c r="G7" s="307"/>
      <c r="H7" s="307"/>
    </row>
    <row r="8" spans="2:12" ht="15.6" x14ac:dyDescent="0.3">
      <c r="B8" s="285">
        <f t="shared" ref="B8:B129" si="0">IF(D8="",0,1)</f>
        <v>1</v>
      </c>
      <c r="C8" s="308">
        <v>10001</v>
      </c>
      <c r="D8" s="309" t="s">
        <v>16</v>
      </c>
      <c r="E8" s="309" t="s">
        <v>7</v>
      </c>
      <c r="F8" s="309" t="s">
        <v>8</v>
      </c>
      <c r="G8" s="303">
        <v>100000</v>
      </c>
      <c r="H8" s="303"/>
    </row>
    <row r="9" spans="2:12" ht="15.6" x14ac:dyDescent="0.3">
      <c r="B9" s="285">
        <f t="shared" si="0"/>
        <v>1</v>
      </c>
      <c r="C9" s="308">
        <v>10002</v>
      </c>
      <c r="D9" s="309" t="s">
        <v>26</v>
      </c>
      <c r="E9" s="309" t="s">
        <v>7</v>
      </c>
      <c r="F9" s="309" t="s">
        <v>8</v>
      </c>
      <c r="G9" s="303"/>
      <c r="H9" s="303"/>
    </row>
    <row r="10" spans="2:12" ht="15.6" x14ac:dyDescent="0.3">
      <c r="B10" s="285">
        <f t="shared" si="0"/>
        <v>1</v>
      </c>
      <c r="C10" s="308">
        <v>10003</v>
      </c>
      <c r="D10" s="309" t="s">
        <v>27</v>
      </c>
      <c r="E10" s="309" t="s">
        <v>7</v>
      </c>
      <c r="F10" s="309" t="s">
        <v>8</v>
      </c>
      <c r="G10" s="303">
        <v>500000</v>
      </c>
      <c r="H10" s="303"/>
    </row>
    <row r="11" spans="2:12" ht="15.6" x14ac:dyDescent="0.3">
      <c r="B11" s="285">
        <f t="shared" si="0"/>
        <v>1</v>
      </c>
      <c r="C11" s="308">
        <v>10004</v>
      </c>
      <c r="D11" s="309" t="s">
        <v>218</v>
      </c>
      <c r="E11" s="309" t="s">
        <v>7</v>
      </c>
      <c r="F11" s="309" t="s">
        <v>8</v>
      </c>
      <c r="G11" s="303"/>
      <c r="H11" s="303"/>
    </row>
    <row r="12" spans="2:12" ht="15.6" x14ac:dyDescent="0.3">
      <c r="B12" s="285">
        <f t="shared" si="0"/>
        <v>1</v>
      </c>
      <c r="C12" s="308">
        <v>10005</v>
      </c>
      <c r="D12" s="309" t="s">
        <v>28</v>
      </c>
      <c r="E12" s="309" t="s">
        <v>7</v>
      </c>
      <c r="F12" s="309" t="s">
        <v>8</v>
      </c>
      <c r="G12" s="303"/>
      <c r="H12" s="303"/>
    </row>
    <row r="13" spans="2:12" ht="15.6" x14ac:dyDescent="0.3">
      <c r="B13" s="285">
        <f t="shared" si="0"/>
        <v>1</v>
      </c>
      <c r="C13" s="308">
        <v>10006</v>
      </c>
      <c r="D13" s="309" t="s">
        <v>172</v>
      </c>
      <c r="E13" s="309" t="s">
        <v>7</v>
      </c>
      <c r="F13" s="309" t="s">
        <v>8</v>
      </c>
      <c r="G13" s="303"/>
      <c r="H13" s="303"/>
    </row>
    <row r="14" spans="2:12" ht="15.6" x14ac:dyDescent="0.3">
      <c r="B14" s="285">
        <f t="shared" si="0"/>
        <v>1</v>
      </c>
      <c r="C14" s="308">
        <v>10007</v>
      </c>
      <c r="D14" s="309" t="s">
        <v>166</v>
      </c>
      <c r="E14" s="309" t="s">
        <v>7</v>
      </c>
      <c r="F14" s="309" t="s">
        <v>8</v>
      </c>
      <c r="G14" s="303"/>
      <c r="H14" s="303"/>
    </row>
    <row r="15" spans="2:12" ht="15.6" x14ac:dyDescent="0.3">
      <c r="B15" s="285">
        <f t="shared" si="0"/>
        <v>1</v>
      </c>
      <c r="C15" s="308">
        <v>10008</v>
      </c>
      <c r="D15" s="309" t="s">
        <v>29</v>
      </c>
      <c r="E15" s="309" t="s">
        <v>7</v>
      </c>
      <c r="F15" s="309" t="s">
        <v>8</v>
      </c>
      <c r="G15" s="303"/>
      <c r="H15" s="303"/>
    </row>
    <row r="16" spans="2:12" ht="15.6" x14ac:dyDescent="0.3">
      <c r="B16" s="285">
        <f t="shared" si="0"/>
        <v>1</v>
      </c>
      <c r="C16" s="308">
        <v>10009</v>
      </c>
      <c r="D16" s="309" t="s">
        <v>30</v>
      </c>
      <c r="E16" s="309" t="s">
        <v>7</v>
      </c>
      <c r="F16" s="309" t="s">
        <v>8</v>
      </c>
      <c r="G16" s="303"/>
      <c r="H16" s="303"/>
    </row>
    <row r="17" spans="2:8" ht="15.6" x14ac:dyDescent="0.3">
      <c r="B17" s="285">
        <f t="shared" si="0"/>
        <v>1</v>
      </c>
      <c r="C17" s="308">
        <v>10010</v>
      </c>
      <c r="D17" s="309" t="s">
        <v>31</v>
      </c>
      <c r="E17" s="309" t="s">
        <v>7</v>
      </c>
      <c r="F17" s="309" t="s">
        <v>8</v>
      </c>
      <c r="G17" s="303"/>
      <c r="H17" s="303"/>
    </row>
    <row r="18" spans="2:8" ht="15.6" x14ac:dyDescent="0.3">
      <c r="B18" s="285">
        <f t="shared" ref="B18:B27" si="1">IF(D18="",0,1)</f>
        <v>0</v>
      </c>
      <c r="C18" s="308">
        <v>10011</v>
      </c>
      <c r="D18" s="309"/>
      <c r="E18" s="309" t="s">
        <v>7</v>
      </c>
      <c r="F18" s="309" t="s">
        <v>8</v>
      </c>
      <c r="G18" s="333"/>
      <c r="H18" s="333"/>
    </row>
    <row r="19" spans="2:8" ht="15.6" x14ac:dyDescent="0.3">
      <c r="B19" s="285">
        <f t="shared" si="1"/>
        <v>0</v>
      </c>
      <c r="C19" s="308">
        <v>10012</v>
      </c>
      <c r="D19" s="309"/>
      <c r="E19" s="309" t="s">
        <v>7</v>
      </c>
      <c r="F19" s="309" t="s">
        <v>8</v>
      </c>
      <c r="G19" s="333"/>
      <c r="H19" s="333"/>
    </row>
    <row r="20" spans="2:8" ht="15.6" x14ac:dyDescent="0.3">
      <c r="B20" s="285">
        <f t="shared" si="1"/>
        <v>0</v>
      </c>
      <c r="C20" s="308">
        <v>10013</v>
      </c>
      <c r="D20" s="309"/>
      <c r="E20" s="309" t="s">
        <v>7</v>
      </c>
      <c r="F20" s="309" t="s">
        <v>8</v>
      </c>
      <c r="G20" s="333"/>
      <c r="H20" s="333"/>
    </row>
    <row r="21" spans="2:8" ht="15.6" x14ac:dyDescent="0.3">
      <c r="B21" s="285">
        <f t="shared" si="1"/>
        <v>0</v>
      </c>
      <c r="C21" s="308">
        <v>10014</v>
      </c>
      <c r="D21" s="309"/>
      <c r="E21" s="309" t="s">
        <v>7</v>
      </c>
      <c r="F21" s="309" t="s">
        <v>8</v>
      </c>
      <c r="G21" s="333"/>
      <c r="H21" s="333"/>
    </row>
    <row r="22" spans="2:8" ht="15.6" x14ac:dyDescent="0.3">
      <c r="B22" s="285">
        <f t="shared" si="1"/>
        <v>0</v>
      </c>
      <c r="C22" s="308">
        <v>10015</v>
      </c>
      <c r="D22" s="309"/>
      <c r="E22" s="309" t="s">
        <v>7</v>
      </c>
      <c r="F22" s="309" t="s">
        <v>8</v>
      </c>
      <c r="G22" s="333"/>
      <c r="H22" s="333"/>
    </row>
    <row r="23" spans="2:8" ht="15.6" x14ac:dyDescent="0.3">
      <c r="B23" s="285">
        <f t="shared" si="1"/>
        <v>0</v>
      </c>
      <c r="C23" s="308">
        <v>10016</v>
      </c>
      <c r="D23" s="309"/>
      <c r="E23" s="309" t="s">
        <v>7</v>
      </c>
      <c r="F23" s="309" t="s">
        <v>8</v>
      </c>
      <c r="G23" s="333"/>
      <c r="H23" s="333"/>
    </row>
    <row r="24" spans="2:8" ht="15.6" x14ac:dyDescent="0.3">
      <c r="B24" s="285">
        <f t="shared" si="1"/>
        <v>0</v>
      </c>
      <c r="C24" s="308">
        <v>10017</v>
      </c>
      <c r="D24" s="309"/>
      <c r="E24" s="309" t="s">
        <v>7</v>
      </c>
      <c r="F24" s="309" t="s">
        <v>8</v>
      </c>
      <c r="G24" s="333"/>
      <c r="H24" s="333"/>
    </row>
    <row r="25" spans="2:8" ht="15.6" x14ac:dyDescent="0.3">
      <c r="B25" s="285">
        <f t="shared" si="1"/>
        <v>0</v>
      </c>
      <c r="C25" s="308">
        <v>10018</v>
      </c>
      <c r="D25" s="309"/>
      <c r="E25" s="309" t="s">
        <v>7</v>
      </c>
      <c r="F25" s="309" t="s">
        <v>8</v>
      </c>
      <c r="G25" s="333"/>
      <c r="H25" s="333"/>
    </row>
    <row r="26" spans="2:8" ht="15.6" x14ac:dyDescent="0.3">
      <c r="B26" s="285">
        <f t="shared" si="1"/>
        <v>0</v>
      </c>
      <c r="C26" s="308">
        <v>10019</v>
      </c>
      <c r="D26" s="309"/>
      <c r="E26" s="309" t="s">
        <v>7</v>
      </c>
      <c r="F26" s="309" t="s">
        <v>8</v>
      </c>
      <c r="G26" s="333"/>
      <c r="H26" s="333"/>
    </row>
    <row r="27" spans="2:8" ht="15.6" x14ac:dyDescent="0.3">
      <c r="B27" s="285">
        <f t="shared" si="1"/>
        <v>0</v>
      </c>
      <c r="C27" s="308">
        <v>10020</v>
      </c>
      <c r="D27" s="309"/>
      <c r="E27" s="309" t="s">
        <v>7</v>
      </c>
      <c r="F27" s="309" t="s">
        <v>8</v>
      </c>
      <c r="G27" s="333"/>
      <c r="H27" s="333"/>
    </row>
    <row r="28" spans="2:8" ht="15.6" x14ac:dyDescent="0.3">
      <c r="B28" s="285">
        <f t="shared" si="0"/>
        <v>1</v>
      </c>
      <c r="C28" s="306">
        <v>11000</v>
      </c>
      <c r="D28" s="306" t="s">
        <v>132</v>
      </c>
      <c r="E28" s="306" t="s">
        <v>7</v>
      </c>
      <c r="F28" s="306" t="s">
        <v>8</v>
      </c>
      <c r="G28" s="307"/>
      <c r="H28" s="307"/>
    </row>
    <row r="29" spans="2:8" ht="15.6" x14ac:dyDescent="0.3">
      <c r="B29" s="285">
        <f t="shared" si="0"/>
        <v>1</v>
      </c>
      <c r="C29" s="309">
        <v>11001</v>
      </c>
      <c r="D29" s="309" t="s">
        <v>174</v>
      </c>
      <c r="E29" s="309" t="s">
        <v>7</v>
      </c>
      <c r="F29" s="309" t="s">
        <v>8</v>
      </c>
      <c r="G29" s="303"/>
      <c r="H29" s="303"/>
    </row>
    <row r="30" spans="2:8" ht="15.6" x14ac:dyDescent="0.3">
      <c r="B30" s="285">
        <f t="shared" si="0"/>
        <v>1</v>
      </c>
      <c r="C30" s="309">
        <v>11002</v>
      </c>
      <c r="D30" s="309" t="s">
        <v>175</v>
      </c>
      <c r="E30" s="309" t="s">
        <v>7</v>
      </c>
      <c r="F30" s="309" t="s">
        <v>17</v>
      </c>
      <c r="G30" s="303"/>
      <c r="H30" s="303"/>
    </row>
    <row r="31" spans="2:8" ht="15.6" x14ac:dyDescent="0.3">
      <c r="B31" s="285">
        <f t="shared" si="0"/>
        <v>1</v>
      </c>
      <c r="C31" s="309">
        <v>11003</v>
      </c>
      <c r="D31" s="309" t="s">
        <v>32</v>
      </c>
      <c r="E31" s="309" t="s">
        <v>7</v>
      </c>
      <c r="F31" s="309" t="s">
        <v>8</v>
      </c>
      <c r="G31" s="303"/>
      <c r="H31" s="303"/>
    </row>
    <row r="32" spans="2:8" ht="15.6" x14ac:dyDescent="0.3">
      <c r="B32" s="285">
        <f t="shared" si="0"/>
        <v>1</v>
      </c>
      <c r="C32" s="309">
        <v>11004</v>
      </c>
      <c r="D32" s="309" t="s">
        <v>33</v>
      </c>
      <c r="E32" s="309" t="s">
        <v>7</v>
      </c>
      <c r="F32" s="309" t="s">
        <v>17</v>
      </c>
      <c r="G32" s="303"/>
      <c r="H32" s="303"/>
    </row>
    <row r="33" spans="2:8" ht="15.6" x14ac:dyDescent="0.3">
      <c r="B33" s="285">
        <f t="shared" si="0"/>
        <v>1</v>
      </c>
      <c r="C33" s="309">
        <v>11005</v>
      </c>
      <c r="D33" s="309" t="s">
        <v>34</v>
      </c>
      <c r="E33" s="309" t="s">
        <v>7</v>
      </c>
      <c r="F33" s="309" t="s">
        <v>8</v>
      </c>
      <c r="G33" s="303"/>
      <c r="H33" s="303"/>
    </row>
    <row r="34" spans="2:8" ht="15.6" x14ac:dyDescent="0.3">
      <c r="B34" s="285">
        <f t="shared" si="0"/>
        <v>1</v>
      </c>
      <c r="C34" s="309">
        <v>11006</v>
      </c>
      <c r="D34" s="309" t="s">
        <v>35</v>
      </c>
      <c r="E34" s="309" t="s">
        <v>7</v>
      </c>
      <c r="F34" s="309" t="s">
        <v>17</v>
      </c>
      <c r="G34" s="303"/>
      <c r="H34" s="303"/>
    </row>
    <row r="35" spans="2:8" ht="15.6" x14ac:dyDescent="0.3">
      <c r="B35" s="285">
        <f t="shared" si="0"/>
        <v>1</v>
      </c>
      <c r="C35" s="309">
        <v>11007</v>
      </c>
      <c r="D35" s="309" t="s">
        <v>164</v>
      </c>
      <c r="E35" s="309" t="s">
        <v>7</v>
      </c>
      <c r="F35" s="309" t="s">
        <v>8</v>
      </c>
      <c r="G35" s="303"/>
      <c r="H35" s="303"/>
    </row>
    <row r="36" spans="2:8" ht="15.6" x14ac:dyDescent="0.3">
      <c r="B36" s="285">
        <f t="shared" si="0"/>
        <v>1</v>
      </c>
      <c r="C36" s="309">
        <v>11008</v>
      </c>
      <c r="D36" s="309" t="s">
        <v>165</v>
      </c>
      <c r="E36" s="309" t="s">
        <v>7</v>
      </c>
      <c r="F36" s="309" t="s">
        <v>17</v>
      </c>
      <c r="G36" s="303"/>
      <c r="H36" s="303"/>
    </row>
    <row r="37" spans="2:8" ht="15.6" x14ac:dyDescent="0.3">
      <c r="B37" s="285">
        <f t="shared" si="0"/>
        <v>1</v>
      </c>
      <c r="C37" s="309">
        <v>11009</v>
      </c>
      <c r="D37" s="309" t="s">
        <v>173</v>
      </c>
      <c r="E37" s="309" t="s">
        <v>7</v>
      </c>
      <c r="F37" s="309" t="s">
        <v>8</v>
      </c>
      <c r="G37" s="303"/>
      <c r="H37" s="303"/>
    </row>
    <row r="38" spans="2:8" ht="15.6" x14ac:dyDescent="0.3">
      <c r="B38" s="285">
        <f t="shared" si="0"/>
        <v>1</v>
      </c>
      <c r="C38" s="309">
        <v>11010</v>
      </c>
      <c r="D38" s="309" t="s">
        <v>176</v>
      </c>
      <c r="E38" s="309" t="s">
        <v>7</v>
      </c>
      <c r="F38" s="309" t="s">
        <v>17</v>
      </c>
      <c r="G38" s="303"/>
      <c r="H38" s="303"/>
    </row>
    <row r="39" spans="2:8" ht="15.6" x14ac:dyDescent="0.3">
      <c r="B39" s="285">
        <f t="shared" si="0"/>
        <v>1</v>
      </c>
      <c r="C39" s="309">
        <v>11011</v>
      </c>
      <c r="D39" s="309" t="s">
        <v>214</v>
      </c>
      <c r="E39" s="309" t="s">
        <v>7</v>
      </c>
      <c r="F39" s="309" t="s">
        <v>8</v>
      </c>
      <c r="G39" s="303"/>
      <c r="H39" s="303"/>
    </row>
    <row r="40" spans="2:8" ht="15.6" x14ac:dyDescent="0.3">
      <c r="B40" s="285">
        <f t="shared" si="0"/>
        <v>0</v>
      </c>
      <c r="C40" s="309">
        <v>11012</v>
      </c>
      <c r="D40" s="309"/>
      <c r="E40" s="309" t="s">
        <v>7</v>
      </c>
      <c r="F40" s="309" t="s">
        <v>8</v>
      </c>
      <c r="G40" s="333"/>
      <c r="H40" s="333"/>
    </row>
    <row r="41" spans="2:8" ht="15.6" x14ac:dyDescent="0.3">
      <c r="B41" s="285">
        <f t="shared" si="0"/>
        <v>0</v>
      </c>
      <c r="C41" s="309">
        <v>11013</v>
      </c>
      <c r="D41" s="309"/>
      <c r="E41" s="309" t="s">
        <v>7</v>
      </c>
      <c r="F41" s="309" t="s">
        <v>8</v>
      </c>
      <c r="G41" s="333"/>
      <c r="H41" s="333"/>
    </row>
    <row r="42" spans="2:8" ht="15.6" x14ac:dyDescent="0.3">
      <c r="B42" s="285">
        <f t="shared" si="0"/>
        <v>0</v>
      </c>
      <c r="C42" s="309">
        <v>11014</v>
      </c>
      <c r="D42" s="309"/>
      <c r="E42" s="309" t="s">
        <v>7</v>
      </c>
      <c r="F42" s="309" t="s">
        <v>8</v>
      </c>
      <c r="G42" s="333"/>
      <c r="H42" s="333"/>
    </row>
    <row r="43" spans="2:8" ht="15.6" x14ac:dyDescent="0.3">
      <c r="B43" s="285">
        <f t="shared" si="0"/>
        <v>0</v>
      </c>
      <c r="C43" s="309">
        <v>11015</v>
      </c>
      <c r="D43" s="309"/>
      <c r="E43" s="309" t="s">
        <v>7</v>
      </c>
      <c r="F43" s="309" t="s">
        <v>8</v>
      </c>
      <c r="G43" s="333"/>
      <c r="H43" s="333"/>
    </row>
    <row r="44" spans="2:8" ht="15.6" x14ac:dyDescent="0.3">
      <c r="B44" s="285">
        <f t="shared" si="0"/>
        <v>0</v>
      </c>
      <c r="C44" s="309">
        <v>11016</v>
      </c>
      <c r="D44" s="309"/>
      <c r="E44" s="309" t="s">
        <v>7</v>
      </c>
      <c r="F44" s="309" t="s">
        <v>8</v>
      </c>
      <c r="G44" s="333"/>
      <c r="H44" s="333"/>
    </row>
    <row r="45" spans="2:8" ht="15.6" x14ac:dyDescent="0.3">
      <c r="B45" s="285">
        <f t="shared" si="0"/>
        <v>0</v>
      </c>
      <c r="C45" s="309">
        <v>11017</v>
      </c>
      <c r="D45" s="309"/>
      <c r="E45" s="309" t="s">
        <v>7</v>
      </c>
      <c r="F45" s="309" t="s">
        <v>8</v>
      </c>
      <c r="G45" s="333"/>
      <c r="H45" s="333"/>
    </row>
    <row r="46" spans="2:8" ht="15.6" x14ac:dyDescent="0.3">
      <c r="B46" s="285">
        <f t="shared" si="0"/>
        <v>0</v>
      </c>
      <c r="C46" s="309">
        <v>11018</v>
      </c>
      <c r="D46" s="309"/>
      <c r="E46" s="309" t="s">
        <v>7</v>
      </c>
      <c r="F46" s="309" t="s">
        <v>8</v>
      </c>
      <c r="G46" s="333"/>
      <c r="H46" s="333"/>
    </row>
    <row r="47" spans="2:8" ht="15.6" x14ac:dyDescent="0.3">
      <c r="B47" s="285">
        <f t="shared" si="0"/>
        <v>0</v>
      </c>
      <c r="C47" s="309">
        <v>11019</v>
      </c>
      <c r="D47" s="309"/>
      <c r="E47" s="309" t="s">
        <v>7</v>
      </c>
      <c r="F47" s="309" t="s">
        <v>8</v>
      </c>
      <c r="G47" s="333"/>
      <c r="H47" s="333"/>
    </row>
    <row r="48" spans="2:8" ht="15.6" x14ac:dyDescent="0.3">
      <c r="B48" s="285">
        <f t="shared" si="0"/>
        <v>0</v>
      </c>
      <c r="C48" s="309">
        <v>11020</v>
      </c>
      <c r="D48" s="309"/>
      <c r="E48" s="309" t="s">
        <v>7</v>
      </c>
      <c r="F48" s="309" t="s">
        <v>8</v>
      </c>
      <c r="G48" s="333"/>
      <c r="H48" s="333"/>
    </row>
    <row r="49" spans="2:8" ht="15.6" x14ac:dyDescent="0.3">
      <c r="B49" s="285">
        <f t="shared" si="0"/>
        <v>1</v>
      </c>
      <c r="C49" s="306">
        <v>20000</v>
      </c>
      <c r="D49" s="306" t="s">
        <v>133</v>
      </c>
      <c r="E49" s="306" t="s">
        <v>7</v>
      </c>
      <c r="F49" s="306" t="s">
        <v>8</v>
      </c>
      <c r="G49" s="307"/>
      <c r="H49" s="307"/>
    </row>
    <row r="50" spans="2:8" ht="15.6" x14ac:dyDescent="0.3">
      <c r="B50" s="285">
        <f t="shared" si="0"/>
        <v>1</v>
      </c>
      <c r="C50" s="309">
        <v>20001</v>
      </c>
      <c r="D50" s="309" t="s">
        <v>36</v>
      </c>
      <c r="E50" s="309" t="s">
        <v>7</v>
      </c>
      <c r="F50" s="309" t="s">
        <v>8</v>
      </c>
      <c r="G50" s="303"/>
      <c r="H50" s="303"/>
    </row>
    <row r="51" spans="2:8" ht="15.6" x14ac:dyDescent="0.3">
      <c r="B51" s="285">
        <f t="shared" si="0"/>
        <v>1</v>
      </c>
      <c r="C51" s="309">
        <v>20002</v>
      </c>
      <c r="D51" s="309" t="s">
        <v>37</v>
      </c>
      <c r="E51" s="309" t="s">
        <v>7</v>
      </c>
      <c r="F51" s="309" t="s">
        <v>8</v>
      </c>
      <c r="G51" s="303"/>
      <c r="H51" s="303"/>
    </row>
    <row r="52" spans="2:8" ht="15.6" x14ac:dyDescent="0.3">
      <c r="B52" s="285">
        <f t="shared" si="0"/>
        <v>1</v>
      </c>
      <c r="C52" s="309">
        <v>20003</v>
      </c>
      <c r="D52" s="309" t="s">
        <v>38</v>
      </c>
      <c r="E52" s="309" t="s">
        <v>7</v>
      </c>
      <c r="F52" s="309" t="s">
        <v>8</v>
      </c>
      <c r="G52" s="303"/>
      <c r="H52" s="303"/>
    </row>
    <row r="53" spans="2:8" ht="15.6" x14ac:dyDescent="0.3">
      <c r="B53" s="285">
        <f t="shared" si="0"/>
        <v>1</v>
      </c>
      <c r="C53" s="309">
        <v>20004</v>
      </c>
      <c r="D53" s="309" t="s">
        <v>39</v>
      </c>
      <c r="E53" s="309" t="s">
        <v>7</v>
      </c>
      <c r="F53" s="309" t="s">
        <v>8</v>
      </c>
      <c r="G53" s="303"/>
      <c r="H53" s="303"/>
    </row>
    <row r="54" spans="2:8" ht="15.6" x14ac:dyDescent="0.3">
      <c r="B54" s="285">
        <f t="shared" si="0"/>
        <v>1</v>
      </c>
      <c r="C54" s="309">
        <v>20005</v>
      </c>
      <c r="D54" s="309" t="s">
        <v>40</v>
      </c>
      <c r="E54" s="309" t="s">
        <v>7</v>
      </c>
      <c r="F54" s="309" t="s">
        <v>8</v>
      </c>
      <c r="G54" s="303"/>
      <c r="H54" s="303"/>
    </row>
    <row r="55" spans="2:8" ht="15.6" x14ac:dyDescent="0.3">
      <c r="B55" s="285">
        <f t="shared" si="0"/>
        <v>1</v>
      </c>
      <c r="C55" s="309">
        <v>20006</v>
      </c>
      <c r="D55" s="309" t="s">
        <v>41</v>
      </c>
      <c r="E55" s="309" t="s">
        <v>7</v>
      </c>
      <c r="F55" s="309" t="s">
        <v>8</v>
      </c>
      <c r="G55" s="303"/>
      <c r="H55" s="303"/>
    </row>
    <row r="56" spans="2:8" ht="15.6" x14ac:dyDescent="0.3">
      <c r="B56" s="285">
        <f t="shared" si="0"/>
        <v>1</v>
      </c>
      <c r="C56" s="309">
        <v>20007</v>
      </c>
      <c r="D56" s="309" t="s">
        <v>140</v>
      </c>
      <c r="E56" s="309" t="s">
        <v>7</v>
      </c>
      <c r="F56" s="309" t="s">
        <v>8</v>
      </c>
      <c r="G56" s="303"/>
      <c r="H56" s="303"/>
    </row>
    <row r="57" spans="2:8" ht="15.6" x14ac:dyDescent="0.3">
      <c r="B57" s="285">
        <f t="shared" si="0"/>
        <v>1</v>
      </c>
      <c r="C57" s="309">
        <v>20008</v>
      </c>
      <c r="D57" s="309" t="s">
        <v>183</v>
      </c>
      <c r="E57" s="309" t="s">
        <v>7</v>
      </c>
      <c r="F57" s="309" t="s">
        <v>8</v>
      </c>
      <c r="G57" s="303"/>
      <c r="H57" s="303"/>
    </row>
    <row r="58" spans="2:8" ht="15.6" x14ac:dyDescent="0.3">
      <c r="B58" s="285">
        <f t="shared" ref="B58:B69" si="2">IF(D58="",0,1)</f>
        <v>0</v>
      </c>
      <c r="C58" s="309">
        <v>20009</v>
      </c>
      <c r="D58" s="309"/>
      <c r="E58" s="309" t="s">
        <v>7</v>
      </c>
      <c r="F58" s="309" t="s">
        <v>8</v>
      </c>
      <c r="G58" s="333"/>
      <c r="H58" s="333"/>
    </row>
    <row r="59" spans="2:8" ht="15.6" x14ac:dyDescent="0.3">
      <c r="B59" s="285">
        <f t="shared" si="2"/>
        <v>0</v>
      </c>
      <c r="C59" s="309">
        <v>20010</v>
      </c>
      <c r="D59" s="309"/>
      <c r="E59" s="309" t="s">
        <v>7</v>
      </c>
      <c r="F59" s="309" t="s">
        <v>8</v>
      </c>
      <c r="G59" s="333"/>
      <c r="H59" s="333"/>
    </row>
    <row r="60" spans="2:8" ht="15.6" x14ac:dyDescent="0.3">
      <c r="B60" s="285">
        <f t="shared" si="2"/>
        <v>0</v>
      </c>
      <c r="C60" s="309">
        <v>20011</v>
      </c>
      <c r="D60" s="309"/>
      <c r="E60" s="309" t="s">
        <v>7</v>
      </c>
      <c r="F60" s="309" t="s">
        <v>8</v>
      </c>
      <c r="G60" s="333"/>
      <c r="H60" s="333"/>
    </row>
    <row r="61" spans="2:8" ht="15.6" x14ac:dyDescent="0.3">
      <c r="B61" s="285">
        <f t="shared" si="2"/>
        <v>0</v>
      </c>
      <c r="C61" s="309">
        <v>20012</v>
      </c>
      <c r="D61" s="309"/>
      <c r="E61" s="309" t="s">
        <v>7</v>
      </c>
      <c r="F61" s="309" t="s">
        <v>8</v>
      </c>
      <c r="G61" s="333"/>
      <c r="H61" s="333"/>
    </row>
    <row r="62" spans="2:8" ht="15.6" x14ac:dyDescent="0.3">
      <c r="B62" s="285">
        <f t="shared" si="2"/>
        <v>0</v>
      </c>
      <c r="C62" s="309">
        <v>20013</v>
      </c>
      <c r="D62" s="309"/>
      <c r="E62" s="309" t="s">
        <v>7</v>
      </c>
      <c r="F62" s="309" t="s">
        <v>8</v>
      </c>
      <c r="G62" s="333"/>
      <c r="H62" s="333"/>
    </row>
    <row r="63" spans="2:8" ht="15.6" x14ac:dyDescent="0.3">
      <c r="B63" s="285">
        <f t="shared" si="2"/>
        <v>0</v>
      </c>
      <c r="C63" s="309">
        <v>20014</v>
      </c>
      <c r="D63" s="309"/>
      <c r="E63" s="309" t="s">
        <v>7</v>
      </c>
      <c r="F63" s="309" t="s">
        <v>8</v>
      </c>
      <c r="G63" s="333"/>
      <c r="H63" s="333"/>
    </row>
    <row r="64" spans="2:8" ht="15.6" x14ac:dyDescent="0.3">
      <c r="B64" s="285">
        <f t="shared" si="2"/>
        <v>0</v>
      </c>
      <c r="C64" s="309">
        <v>20015</v>
      </c>
      <c r="D64" s="309"/>
      <c r="E64" s="309" t="s">
        <v>7</v>
      </c>
      <c r="F64" s="309" t="s">
        <v>8</v>
      </c>
      <c r="G64" s="333"/>
      <c r="H64" s="333"/>
    </row>
    <row r="65" spans="2:8" ht="15.6" x14ac:dyDescent="0.3">
      <c r="B65" s="285">
        <f t="shared" si="2"/>
        <v>0</v>
      </c>
      <c r="C65" s="309">
        <v>20016</v>
      </c>
      <c r="D65" s="309"/>
      <c r="E65" s="309" t="s">
        <v>7</v>
      </c>
      <c r="F65" s="309" t="s">
        <v>8</v>
      </c>
      <c r="G65" s="333"/>
      <c r="H65" s="333"/>
    </row>
    <row r="66" spans="2:8" ht="15.6" x14ac:dyDescent="0.3">
      <c r="B66" s="285">
        <f t="shared" si="2"/>
        <v>0</v>
      </c>
      <c r="C66" s="309">
        <v>20017</v>
      </c>
      <c r="D66" s="309"/>
      <c r="E66" s="309" t="s">
        <v>7</v>
      </c>
      <c r="F66" s="309" t="s">
        <v>8</v>
      </c>
      <c r="G66" s="333"/>
      <c r="H66" s="333"/>
    </row>
    <row r="67" spans="2:8" ht="15.6" x14ac:dyDescent="0.3">
      <c r="B67" s="285">
        <f t="shared" si="2"/>
        <v>0</v>
      </c>
      <c r="C67" s="309">
        <v>20018</v>
      </c>
      <c r="D67" s="309"/>
      <c r="E67" s="309" t="s">
        <v>7</v>
      </c>
      <c r="F67" s="309" t="s">
        <v>8</v>
      </c>
      <c r="G67" s="333"/>
      <c r="H67" s="333"/>
    </row>
    <row r="68" spans="2:8" ht="15.6" x14ac:dyDescent="0.3">
      <c r="B68" s="285">
        <f t="shared" si="2"/>
        <v>0</v>
      </c>
      <c r="C68" s="309">
        <v>20019</v>
      </c>
      <c r="D68" s="309"/>
      <c r="E68" s="309" t="s">
        <v>7</v>
      </c>
      <c r="F68" s="309" t="s">
        <v>8</v>
      </c>
      <c r="G68" s="333"/>
      <c r="H68" s="333"/>
    </row>
    <row r="69" spans="2:8" ht="15.6" x14ac:dyDescent="0.3">
      <c r="B69" s="285">
        <f t="shared" si="2"/>
        <v>0</v>
      </c>
      <c r="C69" s="309">
        <v>20020</v>
      </c>
      <c r="D69" s="309"/>
      <c r="E69" s="309" t="s">
        <v>7</v>
      </c>
      <c r="F69" s="309" t="s">
        <v>8</v>
      </c>
      <c r="G69" s="333"/>
      <c r="H69" s="333"/>
    </row>
    <row r="70" spans="2:8" ht="15.6" x14ac:dyDescent="0.3">
      <c r="B70" s="285">
        <f t="shared" si="0"/>
        <v>1</v>
      </c>
      <c r="C70" s="306">
        <v>21000</v>
      </c>
      <c r="D70" s="306" t="s">
        <v>137</v>
      </c>
      <c r="E70" s="306" t="s">
        <v>7</v>
      </c>
      <c r="F70" s="306" t="s">
        <v>8</v>
      </c>
      <c r="G70" s="307"/>
      <c r="H70" s="307"/>
    </row>
    <row r="71" spans="2:8" ht="15.6" x14ac:dyDescent="0.3">
      <c r="B71" s="285">
        <f t="shared" si="0"/>
        <v>1</v>
      </c>
      <c r="C71" s="309">
        <v>21001</v>
      </c>
      <c r="D71" s="309" t="s">
        <v>69</v>
      </c>
      <c r="E71" s="309" t="s">
        <v>7</v>
      </c>
      <c r="F71" s="309" t="s">
        <v>8</v>
      </c>
      <c r="G71" s="303"/>
      <c r="H71" s="303"/>
    </row>
    <row r="72" spans="2:8" ht="15.6" x14ac:dyDescent="0.3">
      <c r="B72" s="285">
        <f t="shared" si="0"/>
        <v>1</v>
      </c>
      <c r="C72" s="309">
        <v>21002</v>
      </c>
      <c r="D72" s="309" t="s">
        <v>138</v>
      </c>
      <c r="E72" s="309" t="s">
        <v>7</v>
      </c>
      <c r="F72" s="309" t="s">
        <v>8</v>
      </c>
      <c r="G72" s="303"/>
      <c r="H72" s="303"/>
    </row>
    <row r="73" spans="2:8" ht="15.6" x14ac:dyDescent="0.3">
      <c r="B73" s="285">
        <f t="shared" si="0"/>
        <v>1</v>
      </c>
      <c r="C73" s="309">
        <v>21003</v>
      </c>
      <c r="D73" s="309" t="s">
        <v>139</v>
      </c>
      <c r="E73" s="309" t="s">
        <v>7</v>
      </c>
      <c r="F73" s="309" t="s">
        <v>8</v>
      </c>
      <c r="G73" s="303"/>
      <c r="H73" s="303"/>
    </row>
    <row r="74" spans="2:8" ht="15.6" x14ac:dyDescent="0.3">
      <c r="B74" s="285">
        <f t="shared" si="0"/>
        <v>0</v>
      </c>
      <c r="C74" s="309">
        <v>21004</v>
      </c>
      <c r="D74" s="309"/>
      <c r="E74" s="309" t="s">
        <v>7</v>
      </c>
      <c r="F74" s="309" t="s">
        <v>8</v>
      </c>
      <c r="G74" s="333"/>
      <c r="H74" s="333"/>
    </row>
    <row r="75" spans="2:8" ht="15.6" x14ac:dyDescent="0.3">
      <c r="B75" s="285">
        <f t="shared" si="0"/>
        <v>0</v>
      </c>
      <c r="C75" s="309">
        <v>21005</v>
      </c>
      <c r="D75" s="309"/>
      <c r="E75" s="309" t="s">
        <v>7</v>
      </c>
      <c r="F75" s="309" t="s">
        <v>8</v>
      </c>
      <c r="G75" s="333"/>
      <c r="H75" s="333"/>
    </row>
    <row r="76" spans="2:8" ht="15.6" x14ac:dyDescent="0.3">
      <c r="B76" s="285">
        <f t="shared" si="0"/>
        <v>0</v>
      </c>
      <c r="C76" s="309">
        <v>21006</v>
      </c>
      <c r="D76" s="309"/>
      <c r="E76" s="309" t="s">
        <v>7</v>
      </c>
      <c r="F76" s="309" t="s">
        <v>8</v>
      </c>
      <c r="G76" s="333"/>
      <c r="H76" s="333"/>
    </row>
    <row r="77" spans="2:8" ht="15.6" x14ac:dyDescent="0.3">
      <c r="B77" s="285">
        <f t="shared" si="0"/>
        <v>0</v>
      </c>
      <c r="C77" s="309">
        <v>21007</v>
      </c>
      <c r="D77" s="309"/>
      <c r="E77" s="309" t="s">
        <v>7</v>
      </c>
      <c r="F77" s="309" t="s">
        <v>8</v>
      </c>
      <c r="G77" s="333"/>
      <c r="H77" s="333"/>
    </row>
    <row r="78" spans="2:8" ht="15.6" x14ac:dyDescent="0.3">
      <c r="B78" s="285">
        <f t="shared" si="0"/>
        <v>0</v>
      </c>
      <c r="C78" s="309">
        <v>21008</v>
      </c>
      <c r="D78" s="309"/>
      <c r="E78" s="309" t="s">
        <v>7</v>
      </c>
      <c r="F78" s="309" t="s">
        <v>8</v>
      </c>
      <c r="G78" s="333"/>
      <c r="H78" s="333"/>
    </row>
    <row r="79" spans="2:8" ht="15.6" x14ac:dyDescent="0.3">
      <c r="B79" s="285">
        <f t="shared" si="0"/>
        <v>0</v>
      </c>
      <c r="C79" s="309">
        <v>21009</v>
      </c>
      <c r="D79" s="309"/>
      <c r="E79" s="309" t="s">
        <v>7</v>
      </c>
      <c r="F79" s="309" t="s">
        <v>8</v>
      </c>
      <c r="G79" s="333"/>
      <c r="H79" s="333"/>
    </row>
    <row r="80" spans="2:8" ht="15.6" x14ac:dyDescent="0.3">
      <c r="B80" s="285">
        <f t="shared" si="0"/>
        <v>0</v>
      </c>
      <c r="C80" s="309">
        <v>21010</v>
      </c>
      <c r="D80" s="309"/>
      <c r="E80" s="309" t="s">
        <v>7</v>
      </c>
      <c r="F80" s="309" t="s">
        <v>8</v>
      </c>
      <c r="G80" s="333"/>
      <c r="H80" s="333"/>
    </row>
    <row r="81" spans="2:8" ht="15.6" x14ac:dyDescent="0.3">
      <c r="B81" s="285">
        <f t="shared" si="0"/>
        <v>1</v>
      </c>
      <c r="C81" s="306">
        <v>30000</v>
      </c>
      <c r="D81" s="306" t="s">
        <v>42</v>
      </c>
      <c r="E81" s="306" t="s">
        <v>7</v>
      </c>
      <c r="F81" s="306" t="s">
        <v>17</v>
      </c>
      <c r="G81" s="307"/>
      <c r="H81" s="307">
        <v>100000</v>
      </c>
    </row>
    <row r="82" spans="2:8" ht="15.6" x14ac:dyDescent="0.3">
      <c r="B82" s="285">
        <f t="shared" si="0"/>
        <v>1</v>
      </c>
      <c r="C82" s="309">
        <v>30001</v>
      </c>
      <c r="D82" s="309" t="s">
        <v>43</v>
      </c>
      <c r="E82" s="309" t="s">
        <v>7</v>
      </c>
      <c r="F82" s="309" t="s">
        <v>8</v>
      </c>
      <c r="G82" s="303"/>
      <c r="H82" s="303"/>
    </row>
    <row r="83" spans="2:8" ht="15.6" x14ac:dyDescent="0.3">
      <c r="B83" s="285">
        <f t="shared" si="0"/>
        <v>1</v>
      </c>
      <c r="C83" s="309">
        <v>30002</v>
      </c>
      <c r="D83" s="309" t="s">
        <v>222</v>
      </c>
      <c r="E83" s="309" t="s">
        <v>7</v>
      </c>
      <c r="F83" s="309" t="s">
        <v>8</v>
      </c>
      <c r="G83" s="303"/>
      <c r="H83" s="303"/>
    </row>
    <row r="84" spans="2:8" ht="15.6" x14ac:dyDescent="0.3">
      <c r="B84" s="285">
        <f t="shared" si="0"/>
        <v>0</v>
      </c>
      <c r="C84" s="309">
        <v>30003</v>
      </c>
      <c r="D84" s="309"/>
      <c r="E84" s="309" t="s">
        <v>7</v>
      </c>
      <c r="F84" s="309" t="s">
        <v>8</v>
      </c>
      <c r="G84" s="333"/>
      <c r="H84" s="333"/>
    </row>
    <row r="85" spans="2:8" ht="15.6" x14ac:dyDescent="0.3">
      <c r="B85" s="285">
        <f t="shared" si="0"/>
        <v>0</v>
      </c>
      <c r="C85" s="309">
        <v>30004</v>
      </c>
      <c r="D85" s="309"/>
      <c r="E85" s="309" t="s">
        <v>7</v>
      </c>
      <c r="F85" s="309" t="s">
        <v>8</v>
      </c>
      <c r="G85" s="333"/>
      <c r="H85" s="333"/>
    </row>
    <row r="86" spans="2:8" ht="15.6" x14ac:dyDescent="0.3">
      <c r="B86" s="285">
        <f t="shared" si="0"/>
        <v>0</v>
      </c>
      <c r="C86" s="309">
        <v>30005</v>
      </c>
      <c r="D86" s="309"/>
      <c r="E86" s="309" t="s">
        <v>7</v>
      </c>
      <c r="F86" s="309" t="s">
        <v>8</v>
      </c>
      <c r="G86" s="333"/>
      <c r="H86" s="333"/>
    </row>
    <row r="87" spans="2:8" ht="15.6" x14ac:dyDescent="0.3">
      <c r="B87" s="285">
        <f t="shared" si="0"/>
        <v>0</v>
      </c>
      <c r="C87" s="309">
        <v>30006</v>
      </c>
      <c r="D87" s="309"/>
      <c r="E87" s="309" t="s">
        <v>7</v>
      </c>
      <c r="F87" s="309" t="s">
        <v>8</v>
      </c>
      <c r="G87" s="333"/>
      <c r="H87" s="333"/>
    </row>
    <row r="88" spans="2:8" ht="15.6" x14ac:dyDescent="0.3">
      <c r="B88" s="285">
        <f t="shared" si="0"/>
        <v>0</v>
      </c>
      <c r="C88" s="309">
        <v>30007</v>
      </c>
      <c r="D88" s="309"/>
      <c r="E88" s="309" t="s">
        <v>7</v>
      </c>
      <c r="F88" s="309" t="s">
        <v>8</v>
      </c>
      <c r="G88" s="333"/>
      <c r="H88" s="333"/>
    </row>
    <row r="89" spans="2:8" ht="15.6" x14ac:dyDescent="0.3">
      <c r="B89" s="285">
        <f t="shared" si="0"/>
        <v>0</v>
      </c>
      <c r="C89" s="309">
        <v>30008</v>
      </c>
      <c r="D89" s="309"/>
      <c r="E89" s="309" t="s">
        <v>7</v>
      </c>
      <c r="F89" s="309" t="s">
        <v>8</v>
      </c>
      <c r="G89" s="333"/>
      <c r="H89" s="333"/>
    </row>
    <row r="90" spans="2:8" ht="15.6" x14ac:dyDescent="0.3">
      <c r="B90" s="285">
        <f t="shared" si="0"/>
        <v>0</v>
      </c>
      <c r="C90" s="309">
        <v>30009</v>
      </c>
      <c r="D90" s="309"/>
      <c r="E90" s="309" t="s">
        <v>7</v>
      </c>
      <c r="F90" s="309" t="s">
        <v>8</v>
      </c>
      <c r="G90" s="333"/>
      <c r="H90" s="333"/>
    </row>
    <row r="91" spans="2:8" ht="15.6" x14ac:dyDescent="0.3">
      <c r="B91" s="285">
        <f t="shared" si="0"/>
        <v>0</v>
      </c>
      <c r="C91" s="309">
        <v>30009</v>
      </c>
      <c r="D91" s="309"/>
      <c r="E91" s="309" t="s">
        <v>7</v>
      </c>
      <c r="F91" s="309" t="s">
        <v>8</v>
      </c>
      <c r="G91" s="333"/>
      <c r="H91" s="333"/>
    </row>
    <row r="92" spans="2:8" ht="15.6" x14ac:dyDescent="0.3">
      <c r="B92" s="285">
        <f t="shared" ref="B92" si="3">IF(D92="",0,1)</f>
        <v>0</v>
      </c>
      <c r="C92" s="309">
        <v>30010</v>
      </c>
      <c r="D92" s="309"/>
      <c r="E92" s="309" t="s">
        <v>7</v>
      </c>
      <c r="F92" s="309" t="s">
        <v>8</v>
      </c>
      <c r="G92" s="333"/>
      <c r="H92" s="333"/>
    </row>
    <row r="93" spans="2:8" ht="15.6" x14ac:dyDescent="0.3">
      <c r="B93" s="285">
        <f t="shared" si="0"/>
        <v>1</v>
      </c>
      <c r="C93" s="306">
        <v>40000</v>
      </c>
      <c r="D93" s="306" t="s">
        <v>114</v>
      </c>
      <c r="E93" s="306" t="s">
        <v>59</v>
      </c>
      <c r="F93" s="306" t="s">
        <v>17</v>
      </c>
      <c r="G93" s="307"/>
      <c r="H93" s="307"/>
    </row>
    <row r="94" spans="2:8" ht="15.6" x14ac:dyDescent="0.3">
      <c r="B94" s="285">
        <f t="shared" si="0"/>
        <v>1</v>
      </c>
      <c r="C94" s="309">
        <v>40001</v>
      </c>
      <c r="D94" s="309" t="s">
        <v>60</v>
      </c>
      <c r="E94" s="356" t="s">
        <v>59</v>
      </c>
      <c r="F94" s="309" t="s">
        <v>17</v>
      </c>
      <c r="G94" s="303"/>
      <c r="H94" s="303"/>
    </row>
    <row r="95" spans="2:8" ht="15.6" x14ac:dyDescent="0.3">
      <c r="B95" s="285">
        <f t="shared" si="0"/>
        <v>1</v>
      </c>
      <c r="C95" s="309">
        <v>40002</v>
      </c>
      <c r="D95" s="309" t="s">
        <v>171</v>
      </c>
      <c r="E95" s="356" t="s">
        <v>59</v>
      </c>
      <c r="F95" s="309" t="s">
        <v>17</v>
      </c>
      <c r="G95" s="303"/>
      <c r="H95" s="303"/>
    </row>
    <row r="96" spans="2:8" ht="15.6" x14ac:dyDescent="0.3">
      <c r="B96" s="285">
        <f t="shared" si="0"/>
        <v>1</v>
      </c>
      <c r="C96" s="309">
        <v>40003</v>
      </c>
      <c r="D96" s="309" t="s">
        <v>44</v>
      </c>
      <c r="E96" s="356" t="s">
        <v>59</v>
      </c>
      <c r="F96" s="309" t="s">
        <v>17</v>
      </c>
      <c r="G96" s="303"/>
      <c r="H96" s="303"/>
    </row>
    <row r="97" spans="2:8" ht="15.6" x14ac:dyDescent="0.3">
      <c r="B97" s="285">
        <f t="shared" si="0"/>
        <v>1</v>
      </c>
      <c r="C97" s="309">
        <v>40004</v>
      </c>
      <c r="D97" s="309" t="s">
        <v>45</v>
      </c>
      <c r="E97" s="356" t="s">
        <v>59</v>
      </c>
      <c r="F97" s="309" t="s">
        <v>17</v>
      </c>
      <c r="G97" s="303"/>
      <c r="H97" s="303"/>
    </row>
    <row r="98" spans="2:8" ht="15.6" x14ac:dyDescent="0.3">
      <c r="B98" s="285">
        <f t="shared" si="0"/>
        <v>1</v>
      </c>
      <c r="C98" s="309">
        <v>40005</v>
      </c>
      <c r="D98" s="309" t="s">
        <v>177</v>
      </c>
      <c r="E98" s="356" t="s">
        <v>59</v>
      </c>
      <c r="F98" s="309" t="s">
        <v>17</v>
      </c>
      <c r="G98" s="303"/>
      <c r="H98" s="303">
        <v>1000000</v>
      </c>
    </row>
    <row r="99" spans="2:8" ht="15.6" x14ac:dyDescent="0.3">
      <c r="B99" s="285">
        <f t="shared" si="0"/>
        <v>1</v>
      </c>
      <c r="C99" s="309">
        <v>40006</v>
      </c>
      <c r="D99" s="309" t="s">
        <v>46</v>
      </c>
      <c r="E99" s="356" t="s">
        <v>59</v>
      </c>
      <c r="F99" s="309" t="s">
        <v>17</v>
      </c>
      <c r="G99" s="303"/>
      <c r="H99" s="303"/>
    </row>
    <row r="100" spans="2:8" ht="15.6" x14ac:dyDescent="0.3">
      <c r="B100" s="285">
        <f t="shared" si="0"/>
        <v>1</v>
      </c>
      <c r="C100" s="309">
        <v>40007</v>
      </c>
      <c r="D100" s="309" t="s">
        <v>120</v>
      </c>
      <c r="E100" s="356" t="s">
        <v>59</v>
      </c>
      <c r="F100" s="309" t="s">
        <v>17</v>
      </c>
      <c r="G100" s="303"/>
      <c r="H100" s="303"/>
    </row>
    <row r="101" spans="2:8" ht="15.6" x14ac:dyDescent="0.3">
      <c r="B101" s="285">
        <f t="shared" si="0"/>
        <v>1</v>
      </c>
      <c r="C101" s="309">
        <v>40008</v>
      </c>
      <c r="D101" s="309" t="s">
        <v>119</v>
      </c>
      <c r="E101" s="356" t="s">
        <v>59</v>
      </c>
      <c r="F101" s="309" t="s">
        <v>17</v>
      </c>
      <c r="G101" s="303"/>
      <c r="H101" s="303"/>
    </row>
    <row r="102" spans="2:8" ht="15.6" x14ac:dyDescent="0.3">
      <c r="B102" s="285">
        <f t="shared" si="0"/>
        <v>0</v>
      </c>
      <c r="C102" s="309">
        <v>40009</v>
      </c>
      <c r="D102" s="309"/>
      <c r="E102" s="309" t="s">
        <v>7</v>
      </c>
      <c r="F102" s="309" t="s">
        <v>8</v>
      </c>
      <c r="G102" s="333"/>
      <c r="H102" s="333"/>
    </row>
    <row r="103" spans="2:8" ht="15.6" x14ac:dyDescent="0.3">
      <c r="B103" s="285">
        <f t="shared" si="0"/>
        <v>0</v>
      </c>
      <c r="C103" s="309">
        <v>40010</v>
      </c>
      <c r="D103" s="309"/>
      <c r="E103" s="309" t="s">
        <v>7</v>
      </c>
      <c r="F103" s="309" t="s">
        <v>8</v>
      </c>
      <c r="G103" s="333"/>
      <c r="H103" s="333"/>
    </row>
    <row r="104" spans="2:8" ht="15.6" x14ac:dyDescent="0.3">
      <c r="B104" s="285">
        <f t="shared" si="0"/>
        <v>1</v>
      </c>
      <c r="C104" s="306">
        <v>41000</v>
      </c>
      <c r="D104" s="306" t="s">
        <v>116</v>
      </c>
      <c r="E104" s="306" t="s">
        <v>59</v>
      </c>
      <c r="F104" s="306" t="s">
        <v>17</v>
      </c>
      <c r="G104" s="307"/>
      <c r="H104" s="307"/>
    </row>
    <row r="105" spans="2:8" ht="15.6" x14ac:dyDescent="0.3">
      <c r="B105" s="285">
        <f t="shared" si="0"/>
        <v>1</v>
      </c>
      <c r="C105" s="309">
        <v>41001</v>
      </c>
      <c r="D105" s="309" t="s">
        <v>60</v>
      </c>
      <c r="E105" s="356" t="s">
        <v>59</v>
      </c>
      <c r="F105" s="309" t="s">
        <v>17</v>
      </c>
      <c r="G105" s="303"/>
      <c r="H105" s="303"/>
    </row>
    <row r="106" spans="2:8" ht="15.6" x14ac:dyDescent="0.3">
      <c r="B106" s="285">
        <f t="shared" ref="B106:B114" si="4">IF(D106="",0,1)</f>
        <v>0</v>
      </c>
      <c r="C106" s="309">
        <v>41002</v>
      </c>
      <c r="D106" s="309"/>
      <c r="E106" s="309" t="s">
        <v>7</v>
      </c>
      <c r="F106" s="309" t="s">
        <v>8</v>
      </c>
      <c r="G106" s="333"/>
      <c r="H106" s="333"/>
    </row>
    <row r="107" spans="2:8" ht="15.6" x14ac:dyDescent="0.3">
      <c r="B107" s="285">
        <f t="shared" si="4"/>
        <v>0</v>
      </c>
      <c r="C107" s="309">
        <v>41003</v>
      </c>
      <c r="D107" s="309"/>
      <c r="E107" s="309" t="s">
        <v>7</v>
      </c>
      <c r="F107" s="309" t="s">
        <v>8</v>
      </c>
      <c r="G107" s="333"/>
      <c r="H107" s="333"/>
    </row>
    <row r="108" spans="2:8" ht="15.6" x14ac:dyDescent="0.3">
      <c r="B108" s="285">
        <f t="shared" si="4"/>
        <v>0</v>
      </c>
      <c r="C108" s="309">
        <v>41004</v>
      </c>
      <c r="D108" s="309"/>
      <c r="E108" s="309" t="s">
        <v>7</v>
      </c>
      <c r="F108" s="309" t="s">
        <v>8</v>
      </c>
      <c r="G108" s="333"/>
      <c r="H108" s="333"/>
    </row>
    <row r="109" spans="2:8" ht="15.6" x14ac:dyDescent="0.3">
      <c r="B109" s="285">
        <f t="shared" si="4"/>
        <v>0</v>
      </c>
      <c r="C109" s="309">
        <v>41005</v>
      </c>
      <c r="D109" s="309"/>
      <c r="E109" s="309" t="s">
        <v>7</v>
      </c>
      <c r="F109" s="309" t="s">
        <v>8</v>
      </c>
      <c r="G109" s="333"/>
      <c r="H109" s="333"/>
    </row>
    <row r="110" spans="2:8" ht="15.6" x14ac:dyDescent="0.3">
      <c r="B110" s="285">
        <f t="shared" si="4"/>
        <v>0</v>
      </c>
      <c r="C110" s="309">
        <v>41006</v>
      </c>
      <c r="D110" s="309"/>
      <c r="E110" s="309" t="s">
        <v>7</v>
      </c>
      <c r="F110" s="309" t="s">
        <v>8</v>
      </c>
      <c r="G110" s="333"/>
      <c r="H110" s="333"/>
    </row>
    <row r="111" spans="2:8" ht="15.6" x14ac:dyDescent="0.3">
      <c r="B111" s="285">
        <f t="shared" si="4"/>
        <v>0</v>
      </c>
      <c r="C111" s="309">
        <v>41007</v>
      </c>
      <c r="D111" s="309"/>
      <c r="E111" s="309" t="s">
        <v>7</v>
      </c>
      <c r="F111" s="309" t="s">
        <v>8</v>
      </c>
      <c r="G111" s="333"/>
      <c r="H111" s="333"/>
    </row>
    <row r="112" spans="2:8" ht="15.6" x14ac:dyDescent="0.3">
      <c r="B112" s="285">
        <f t="shared" si="4"/>
        <v>0</v>
      </c>
      <c r="C112" s="309">
        <v>41008</v>
      </c>
      <c r="D112" s="309"/>
      <c r="E112" s="309" t="s">
        <v>7</v>
      </c>
      <c r="F112" s="309" t="s">
        <v>8</v>
      </c>
      <c r="G112" s="333"/>
      <c r="H112" s="333"/>
    </row>
    <row r="113" spans="2:8" ht="15.6" x14ac:dyDescent="0.3">
      <c r="B113" s="285">
        <f t="shared" si="4"/>
        <v>0</v>
      </c>
      <c r="C113" s="309">
        <v>41009</v>
      </c>
      <c r="D113" s="309"/>
      <c r="E113" s="309" t="s">
        <v>7</v>
      </c>
      <c r="F113" s="309" t="s">
        <v>8</v>
      </c>
      <c r="G113" s="333"/>
      <c r="H113" s="333"/>
    </row>
    <row r="114" spans="2:8" ht="15.6" x14ac:dyDescent="0.3">
      <c r="B114" s="285">
        <f t="shared" si="4"/>
        <v>0</v>
      </c>
      <c r="C114" s="309">
        <v>41010</v>
      </c>
      <c r="D114" s="309"/>
      <c r="E114" s="309" t="s">
        <v>7</v>
      </c>
      <c r="F114" s="309" t="s">
        <v>8</v>
      </c>
      <c r="G114" s="333"/>
      <c r="H114" s="333"/>
    </row>
    <row r="115" spans="2:8" ht="15.6" x14ac:dyDescent="0.3">
      <c r="B115" s="285">
        <f t="shared" si="0"/>
        <v>1</v>
      </c>
      <c r="C115" s="306">
        <v>50000</v>
      </c>
      <c r="D115" s="311" t="s">
        <v>113</v>
      </c>
      <c r="E115" s="306" t="s">
        <v>59</v>
      </c>
      <c r="F115" s="306" t="s">
        <v>8</v>
      </c>
      <c r="G115" s="307"/>
      <c r="H115" s="307"/>
    </row>
    <row r="116" spans="2:8" ht="15.6" x14ac:dyDescent="0.3">
      <c r="B116" s="285">
        <f t="shared" si="0"/>
        <v>1</v>
      </c>
      <c r="C116" s="309">
        <v>50001</v>
      </c>
      <c r="D116" s="309" t="s">
        <v>48</v>
      </c>
      <c r="E116" s="356" t="s">
        <v>59</v>
      </c>
      <c r="F116" s="309" t="s">
        <v>8</v>
      </c>
      <c r="G116" s="303">
        <v>500000</v>
      </c>
      <c r="H116" s="303"/>
    </row>
    <row r="117" spans="2:8" ht="15.6" x14ac:dyDescent="0.3">
      <c r="B117" s="285">
        <f t="shared" si="0"/>
        <v>1</v>
      </c>
      <c r="C117" s="309">
        <v>50002</v>
      </c>
      <c r="D117" s="309" t="s">
        <v>49</v>
      </c>
      <c r="E117" s="356" t="s">
        <v>59</v>
      </c>
      <c r="F117" s="309" t="s">
        <v>8</v>
      </c>
      <c r="G117" s="303"/>
      <c r="H117" s="303"/>
    </row>
    <row r="118" spans="2:8" ht="15.6" x14ac:dyDescent="0.3">
      <c r="B118" s="285">
        <f t="shared" si="0"/>
        <v>1</v>
      </c>
      <c r="C118" s="309">
        <v>50003</v>
      </c>
      <c r="D118" s="309" t="s">
        <v>170</v>
      </c>
      <c r="E118" s="356" t="s">
        <v>59</v>
      </c>
      <c r="F118" s="309" t="s">
        <v>8</v>
      </c>
      <c r="G118" s="303"/>
      <c r="H118" s="303"/>
    </row>
    <row r="119" spans="2:8" ht="15.6" x14ac:dyDescent="0.3">
      <c r="B119" s="285">
        <f t="shared" si="0"/>
        <v>1</v>
      </c>
      <c r="C119" s="309">
        <v>50004</v>
      </c>
      <c r="D119" s="309" t="s">
        <v>50</v>
      </c>
      <c r="E119" s="356" t="s">
        <v>59</v>
      </c>
      <c r="F119" s="309" t="s">
        <v>8</v>
      </c>
      <c r="G119" s="303"/>
      <c r="H119" s="303"/>
    </row>
    <row r="120" spans="2:8" ht="15.6" x14ac:dyDescent="0.3">
      <c r="B120" s="285">
        <f t="shared" si="0"/>
        <v>1</v>
      </c>
      <c r="C120" s="309">
        <v>50005</v>
      </c>
      <c r="D120" s="309" t="s">
        <v>51</v>
      </c>
      <c r="E120" s="356" t="s">
        <v>59</v>
      </c>
      <c r="F120" s="309" t="s">
        <v>8</v>
      </c>
      <c r="G120" s="303"/>
      <c r="H120" s="303"/>
    </row>
    <row r="121" spans="2:8" ht="15.6" x14ac:dyDescent="0.3">
      <c r="B121" s="285">
        <f t="shared" si="0"/>
        <v>1</v>
      </c>
      <c r="C121" s="309">
        <v>50006</v>
      </c>
      <c r="D121" s="309" t="s">
        <v>52</v>
      </c>
      <c r="E121" s="356" t="s">
        <v>59</v>
      </c>
      <c r="F121" s="309" t="s">
        <v>8</v>
      </c>
      <c r="G121" s="303"/>
      <c r="H121" s="303"/>
    </row>
    <row r="122" spans="2:8" ht="15.6" x14ac:dyDescent="0.3">
      <c r="B122" s="285">
        <f t="shared" si="0"/>
        <v>1</v>
      </c>
      <c r="C122" s="309">
        <v>50007</v>
      </c>
      <c r="D122" s="309" t="s">
        <v>53</v>
      </c>
      <c r="E122" s="356" t="s">
        <v>59</v>
      </c>
      <c r="F122" s="309" t="s">
        <v>8</v>
      </c>
      <c r="G122" s="303"/>
      <c r="H122" s="303"/>
    </row>
    <row r="123" spans="2:8" ht="15.6" x14ac:dyDescent="0.3">
      <c r="B123" s="285">
        <f t="shared" si="0"/>
        <v>1</v>
      </c>
      <c r="C123" s="309">
        <v>50008</v>
      </c>
      <c r="D123" s="309" t="s">
        <v>54</v>
      </c>
      <c r="E123" s="356" t="s">
        <v>59</v>
      </c>
      <c r="F123" s="309" t="s">
        <v>8</v>
      </c>
      <c r="G123" s="303"/>
      <c r="H123" s="303"/>
    </row>
    <row r="124" spans="2:8" ht="15.6" x14ac:dyDescent="0.3">
      <c r="B124" s="285">
        <f t="shared" si="0"/>
        <v>1</v>
      </c>
      <c r="C124" s="309">
        <v>50009</v>
      </c>
      <c r="D124" s="309" t="s">
        <v>181</v>
      </c>
      <c r="E124" s="356" t="s">
        <v>59</v>
      </c>
      <c r="F124" s="309" t="s">
        <v>8</v>
      </c>
      <c r="G124" s="303"/>
      <c r="H124" s="303"/>
    </row>
    <row r="125" spans="2:8" ht="15.6" x14ac:dyDescent="0.3">
      <c r="B125" s="285">
        <f t="shared" si="0"/>
        <v>1</v>
      </c>
      <c r="C125" s="309">
        <v>50010</v>
      </c>
      <c r="D125" s="309" t="s">
        <v>55</v>
      </c>
      <c r="E125" s="356" t="s">
        <v>59</v>
      </c>
      <c r="F125" s="309" t="s">
        <v>8</v>
      </c>
      <c r="G125" s="303"/>
      <c r="H125" s="303"/>
    </row>
    <row r="126" spans="2:8" ht="15.6" x14ac:dyDescent="0.3">
      <c r="B126" s="285">
        <f t="shared" si="0"/>
        <v>1</v>
      </c>
      <c r="C126" s="309">
        <v>50011</v>
      </c>
      <c r="D126" s="309" t="s">
        <v>56</v>
      </c>
      <c r="E126" s="356" t="s">
        <v>59</v>
      </c>
      <c r="F126" s="309" t="s">
        <v>8</v>
      </c>
      <c r="G126" s="303"/>
      <c r="H126" s="303"/>
    </row>
    <row r="127" spans="2:8" ht="15.6" x14ac:dyDescent="0.3">
      <c r="B127" s="285">
        <f t="shared" si="0"/>
        <v>1</v>
      </c>
      <c r="C127" s="309">
        <v>50012</v>
      </c>
      <c r="D127" s="309" t="s">
        <v>57</v>
      </c>
      <c r="E127" s="356" t="s">
        <v>59</v>
      </c>
      <c r="F127" s="309" t="s">
        <v>8</v>
      </c>
      <c r="G127" s="303"/>
      <c r="H127" s="303"/>
    </row>
    <row r="128" spans="2:8" ht="15.6" x14ac:dyDescent="0.3">
      <c r="B128" s="285">
        <f t="shared" si="0"/>
        <v>1</v>
      </c>
      <c r="C128" s="309">
        <v>50013</v>
      </c>
      <c r="D128" s="309" t="s">
        <v>217</v>
      </c>
      <c r="E128" s="356" t="s">
        <v>59</v>
      </c>
      <c r="F128" s="309" t="s">
        <v>8</v>
      </c>
      <c r="G128" s="303"/>
      <c r="H128" s="303"/>
    </row>
    <row r="129" spans="2:8" ht="15.6" x14ac:dyDescent="0.3">
      <c r="B129" s="285">
        <f t="shared" si="0"/>
        <v>1</v>
      </c>
      <c r="C129" s="309">
        <v>50014</v>
      </c>
      <c r="D129" s="309" t="s">
        <v>58</v>
      </c>
      <c r="E129" s="356" t="s">
        <v>59</v>
      </c>
      <c r="F129" s="309" t="s">
        <v>8</v>
      </c>
      <c r="G129" s="303"/>
      <c r="H129" s="303"/>
    </row>
    <row r="130" spans="2:8" ht="15.6" x14ac:dyDescent="0.3">
      <c r="B130" s="285">
        <f t="shared" ref="B130:B145" si="5">IF(D130="",0,1)</f>
        <v>1</v>
      </c>
      <c r="C130" s="309">
        <v>50015</v>
      </c>
      <c r="D130" s="309" t="s">
        <v>70</v>
      </c>
      <c r="E130" s="356" t="s">
        <v>59</v>
      </c>
      <c r="F130" s="309" t="s">
        <v>8</v>
      </c>
      <c r="G130" s="303"/>
      <c r="H130" s="303"/>
    </row>
    <row r="131" spans="2:8" ht="15.6" x14ac:dyDescent="0.3">
      <c r="B131" s="285">
        <f t="shared" si="5"/>
        <v>1</v>
      </c>
      <c r="C131" s="309">
        <v>50016</v>
      </c>
      <c r="D131" s="309" t="s">
        <v>47</v>
      </c>
      <c r="E131" s="356" t="s">
        <v>59</v>
      </c>
      <c r="F131" s="309" t="s">
        <v>8</v>
      </c>
      <c r="G131" s="303"/>
      <c r="H131" s="303"/>
    </row>
    <row r="132" spans="2:8" ht="15.6" x14ac:dyDescent="0.3">
      <c r="B132" s="285">
        <f t="shared" si="5"/>
        <v>1</v>
      </c>
      <c r="C132" s="309">
        <v>50017</v>
      </c>
      <c r="D132" s="309" t="s">
        <v>178</v>
      </c>
      <c r="E132" s="356" t="s">
        <v>59</v>
      </c>
      <c r="F132" s="309" t="s">
        <v>8</v>
      </c>
      <c r="G132" s="303"/>
      <c r="H132" s="303"/>
    </row>
    <row r="133" spans="2:8" ht="15.6" x14ac:dyDescent="0.3">
      <c r="B133" s="285">
        <f t="shared" si="5"/>
        <v>1</v>
      </c>
      <c r="C133" s="309">
        <v>50018</v>
      </c>
      <c r="D133" s="309" t="s">
        <v>179</v>
      </c>
      <c r="E133" s="356" t="s">
        <v>59</v>
      </c>
      <c r="F133" s="309" t="s">
        <v>8</v>
      </c>
      <c r="G133" s="303"/>
      <c r="H133" s="303"/>
    </row>
    <row r="134" spans="2:8" ht="15.6" x14ac:dyDescent="0.3">
      <c r="B134" s="285">
        <f t="shared" si="5"/>
        <v>1</v>
      </c>
      <c r="C134" s="309">
        <v>50019</v>
      </c>
      <c r="D134" s="309" t="s">
        <v>182</v>
      </c>
      <c r="E134" s="356" t="s">
        <v>59</v>
      </c>
      <c r="F134" s="309" t="s">
        <v>8</v>
      </c>
      <c r="G134" s="303"/>
      <c r="H134" s="303"/>
    </row>
    <row r="135" spans="2:8" ht="15.6" x14ac:dyDescent="0.3">
      <c r="B135" s="285">
        <f t="shared" si="5"/>
        <v>1</v>
      </c>
      <c r="C135" s="309">
        <v>50020</v>
      </c>
      <c r="D135" s="309" t="s">
        <v>215</v>
      </c>
      <c r="E135" s="356" t="s">
        <v>59</v>
      </c>
      <c r="F135" s="309" t="s">
        <v>8</v>
      </c>
      <c r="G135" s="303"/>
      <c r="H135" s="303"/>
    </row>
    <row r="136" spans="2:8" ht="15.6" x14ac:dyDescent="0.3">
      <c r="B136" s="285">
        <f t="shared" si="5"/>
        <v>1</v>
      </c>
      <c r="C136" s="309">
        <v>50021</v>
      </c>
      <c r="D136" s="309" t="s">
        <v>115</v>
      </c>
      <c r="E136" s="356" t="s">
        <v>59</v>
      </c>
      <c r="F136" s="309" t="s">
        <v>8</v>
      </c>
      <c r="G136" s="303"/>
      <c r="H136" s="303"/>
    </row>
    <row r="137" spans="2:8" ht="15.6" x14ac:dyDescent="0.3">
      <c r="B137" s="285">
        <f t="shared" si="5"/>
        <v>1</v>
      </c>
      <c r="C137" s="309">
        <v>50022</v>
      </c>
      <c r="D137" s="309" t="s">
        <v>227</v>
      </c>
      <c r="E137" s="356" t="s">
        <v>59</v>
      </c>
      <c r="F137" s="309" t="s">
        <v>8</v>
      </c>
      <c r="G137" s="333"/>
      <c r="H137" s="333"/>
    </row>
    <row r="138" spans="2:8" ht="15.6" x14ac:dyDescent="0.3">
      <c r="B138" s="285">
        <f t="shared" si="5"/>
        <v>0</v>
      </c>
      <c r="C138" s="309">
        <v>50023</v>
      </c>
      <c r="D138" s="309"/>
      <c r="E138" s="309" t="s">
        <v>7</v>
      </c>
      <c r="F138" s="309" t="s">
        <v>8</v>
      </c>
      <c r="G138" s="333"/>
      <c r="H138" s="333"/>
    </row>
    <row r="139" spans="2:8" ht="15.6" x14ac:dyDescent="0.3">
      <c r="B139" s="285">
        <f t="shared" si="5"/>
        <v>0</v>
      </c>
      <c r="C139" s="309">
        <v>50024</v>
      </c>
      <c r="D139" s="309"/>
      <c r="E139" s="309" t="s">
        <v>7</v>
      </c>
      <c r="F139" s="309" t="s">
        <v>8</v>
      </c>
      <c r="G139" s="333"/>
      <c r="H139" s="333"/>
    </row>
    <row r="140" spans="2:8" ht="15.6" x14ac:dyDescent="0.3">
      <c r="B140" s="285">
        <f t="shared" si="5"/>
        <v>0</v>
      </c>
      <c r="C140" s="309">
        <v>50025</v>
      </c>
      <c r="D140" s="309"/>
      <c r="E140" s="309" t="s">
        <v>7</v>
      </c>
      <c r="F140" s="309" t="s">
        <v>8</v>
      </c>
      <c r="G140" s="333"/>
      <c r="H140" s="333"/>
    </row>
    <row r="141" spans="2:8" ht="15.6" x14ac:dyDescent="0.3">
      <c r="B141" s="285">
        <f t="shared" si="5"/>
        <v>0</v>
      </c>
      <c r="C141" s="309">
        <v>50026</v>
      </c>
      <c r="D141" s="309"/>
      <c r="E141" s="309" t="s">
        <v>7</v>
      </c>
      <c r="F141" s="309" t="s">
        <v>8</v>
      </c>
      <c r="G141" s="333"/>
      <c r="H141" s="333"/>
    </row>
    <row r="142" spans="2:8" ht="15.6" x14ac:dyDescent="0.3">
      <c r="B142" s="285">
        <f t="shared" si="5"/>
        <v>0</v>
      </c>
      <c r="C142" s="309">
        <v>50027</v>
      </c>
      <c r="D142" s="309"/>
      <c r="E142" s="309" t="s">
        <v>7</v>
      </c>
      <c r="F142" s="309" t="s">
        <v>8</v>
      </c>
      <c r="G142" s="333"/>
      <c r="H142" s="333"/>
    </row>
    <row r="143" spans="2:8" ht="15.6" x14ac:dyDescent="0.3">
      <c r="B143" s="285">
        <f t="shared" si="5"/>
        <v>0</v>
      </c>
      <c r="C143" s="309">
        <v>50028</v>
      </c>
      <c r="D143" s="309"/>
      <c r="E143" s="309" t="s">
        <v>7</v>
      </c>
      <c r="F143" s="309" t="s">
        <v>8</v>
      </c>
      <c r="G143" s="333"/>
      <c r="H143" s="333"/>
    </row>
    <row r="144" spans="2:8" ht="15.6" x14ac:dyDescent="0.3">
      <c r="B144" s="285">
        <f t="shared" si="5"/>
        <v>0</v>
      </c>
      <c r="C144" s="309">
        <v>50029</v>
      </c>
      <c r="D144" s="309"/>
      <c r="E144" s="309" t="s">
        <v>7</v>
      </c>
      <c r="F144" s="309" t="s">
        <v>8</v>
      </c>
      <c r="G144" s="333"/>
      <c r="H144" s="333"/>
    </row>
    <row r="145" spans="2:8" ht="15.6" x14ac:dyDescent="0.3">
      <c r="B145" s="285">
        <f t="shared" si="5"/>
        <v>0</v>
      </c>
      <c r="C145" s="309">
        <v>50030</v>
      </c>
      <c r="D145" s="309"/>
      <c r="E145" s="309" t="s">
        <v>7</v>
      </c>
      <c r="F145" s="309" t="s">
        <v>8</v>
      </c>
      <c r="G145" s="333"/>
      <c r="H145" s="333"/>
    </row>
    <row r="146" spans="2:8" customFormat="1" ht="15.6" x14ac:dyDescent="0.3">
      <c r="C146" s="181"/>
      <c r="D146" s="181"/>
      <c r="E146" s="181"/>
      <c r="F146" s="182" t="s">
        <v>9</v>
      </c>
      <c r="G146" s="183">
        <f>SUM(G7:G145)</f>
        <v>1100000</v>
      </c>
      <c r="H146" s="183">
        <f>SUM(H7:H145)</f>
        <v>1100000</v>
      </c>
    </row>
    <row r="148" spans="2:8" x14ac:dyDescent="0.3">
      <c r="H148" s="298">
        <f>G146-H146</f>
        <v>0</v>
      </c>
    </row>
  </sheetData>
  <autoFilter ref="B6:B146" xr:uid="{39B3E01B-EEE0-49DB-9A17-AD57C2AD9178}">
    <filterColumn colId="0">
      <customFilters>
        <customFilter operator="notEqual" val=" "/>
      </customFilters>
    </filterColumn>
  </autoFilter>
  <mergeCells count="8">
    <mergeCell ref="C2:H2"/>
    <mergeCell ref="C3:H3"/>
    <mergeCell ref="C4:H4"/>
    <mergeCell ref="G5:H5"/>
    <mergeCell ref="C5:C6"/>
    <mergeCell ref="D5:D6"/>
    <mergeCell ref="E5:E6"/>
    <mergeCell ref="F5:F6"/>
  </mergeCells>
  <dataValidations count="2">
    <dataValidation type="list" allowBlank="1" showInputMessage="1" showErrorMessage="1" promptTitle="POS" prompt="Jangan Lupa Pilih Pos untuk postingan Buku Besar dan Neraca Lajur" sqref="E7:E145" xr:uid="{136C8EDC-564A-4916-A759-C46D3AF8FFF5}">
      <formula1>"Nrc,Lr"</formula1>
    </dataValidation>
    <dataValidation type="list" allowBlank="1" showInputMessage="1" showErrorMessage="1" promptTitle="SN" prompt="Pilih salah satu saldo normal dari tiap akun " sqref="F7:F145" xr:uid="{DF3F4ACA-10CD-4452-AE0F-4FBCC3273193}">
      <formula1>"Db,Kr"</formula1>
    </dataValidation>
  </dataValidation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8BA3-9223-4CC8-A1F7-FBA569FFE283}">
  <dimension ref="B2:O100"/>
  <sheetViews>
    <sheetView zoomScale="95" zoomScaleNormal="95" workbookViewId="0">
      <selection activeCell="I16" sqref="I16"/>
    </sheetView>
  </sheetViews>
  <sheetFormatPr defaultRowHeight="14.4" x14ac:dyDescent="0.3"/>
  <cols>
    <col min="1" max="1" width="4.5546875" style="285" customWidth="1"/>
    <col min="2" max="5" width="11.6640625" style="285" customWidth="1"/>
    <col min="6" max="6" width="7.21875" style="285" customWidth="1"/>
    <col min="7" max="7" width="14" style="285" customWidth="1"/>
    <col min="8" max="8" width="7.88671875" style="285" customWidth="1"/>
    <col min="9" max="9" width="44.6640625" style="285" customWidth="1"/>
    <col min="10" max="10" width="7.44140625" style="285" customWidth="1"/>
    <col min="11" max="11" width="43.21875" style="285" customWidth="1"/>
    <col min="12" max="13" width="14.88671875" style="285" bestFit="1" customWidth="1"/>
    <col min="14" max="14" width="13.6640625" style="285" customWidth="1"/>
    <col min="15" max="15" width="14.33203125" style="285" customWidth="1"/>
    <col min="16" max="16" width="11.77734375" style="285" bestFit="1" customWidth="1"/>
    <col min="17" max="16384" width="8.88671875" style="285"/>
  </cols>
  <sheetData>
    <row r="2" spans="2:13" ht="14.4" customHeight="1" x14ac:dyDescent="0.3">
      <c r="G2" s="312" t="s">
        <v>219</v>
      </c>
      <c r="H2" s="312"/>
      <c r="I2" s="312"/>
      <c r="J2" s="312"/>
      <c r="K2" s="312"/>
      <c r="L2" s="312"/>
      <c r="M2" s="312"/>
    </row>
    <row r="3" spans="2:13" ht="14.4" customHeight="1" x14ac:dyDescent="0.3">
      <c r="G3" s="312" t="s">
        <v>10</v>
      </c>
      <c r="H3" s="312"/>
      <c r="I3" s="312"/>
      <c r="J3" s="312"/>
      <c r="K3" s="312"/>
      <c r="L3" s="312"/>
      <c r="M3" s="312"/>
    </row>
    <row r="4" spans="2:13" x14ac:dyDescent="0.3">
      <c r="G4" s="312" t="s">
        <v>220</v>
      </c>
      <c r="H4" s="312"/>
      <c r="I4" s="312"/>
      <c r="J4" s="312"/>
      <c r="K4" s="312"/>
      <c r="L4" s="312"/>
      <c r="M4" s="312"/>
    </row>
    <row r="5" spans="2:13" x14ac:dyDescent="0.3">
      <c r="G5" s="312" t="s">
        <v>226</v>
      </c>
      <c r="H5" s="312"/>
      <c r="I5" s="312"/>
      <c r="J5" s="312"/>
      <c r="K5" s="312"/>
      <c r="L5" s="312"/>
      <c r="M5" s="312"/>
    </row>
    <row r="6" spans="2:13" x14ac:dyDescent="0.3">
      <c r="B6" s="313" t="s">
        <v>82</v>
      </c>
      <c r="C6" s="313" t="s">
        <v>83</v>
      </c>
      <c r="D6" s="313" t="s">
        <v>24</v>
      </c>
      <c r="E6" s="313" t="s">
        <v>18</v>
      </c>
      <c r="G6" s="313" t="s">
        <v>11</v>
      </c>
      <c r="H6" s="313" t="s">
        <v>12</v>
      </c>
      <c r="I6" s="313" t="s">
        <v>13</v>
      </c>
      <c r="J6" s="313" t="s">
        <v>15</v>
      </c>
      <c r="K6" s="313" t="s">
        <v>1</v>
      </c>
      <c r="L6" s="313" t="s">
        <v>14</v>
      </c>
      <c r="M6" s="313" t="s">
        <v>5</v>
      </c>
    </row>
    <row r="7" spans="2:13" x14ac:dyDescent="0.3">
      <c r="B7" s="313">
        <f>IF(C7&lt;&gt;"","",J7)</f>
        <v>10006</v>
      </c>
      <c r="C7" s="313" t="str">
        <f>IF(LEFT(H7,3)="AP-",J7,"")</f>
        <v/>
      </c>
      <c r="D7" s="313" t="str">
        <f>IF(OR(E7=0,E7=""),"",COUNTIF($E$7:E7,E7)&amp;E7)</f>
        <v/>
      </c>
      <c r="E7" s="313" t="str">
        <f>IF(J7=filter,J7,"")</f>
        <v/>
      </c>
      <c r="G7" s="314">
        <v>38718</v>
      </c>
      <c r="H7" s="315" t="s">
        <v>225</v>
      </c>
      <c r="I7" s="313" t="s">
        <v>223</v>
      </c>
      <c r="J7" s="316">
        <v>10006</v>
      </c>
      <c r="K7" s="313" t="str">
        <f>IFERROR(IF(J7="","",VLOOKUP(J7,daftarakun,2,0)),"Masukan kode yang benar!")</f>
        <v>Perlengkapan Kantor</v>
      </c>
      <c r="L7" s="124">
        <v>20000</v>
      </c>
      <c r="M7" s="124"/>
    </row>
    <row r="8" spans="2:13" x14ac:dyDescent="0.3">
      <c r="B8" s="313">
        <f>IF(C8&lt;&gt;"","",J8)</f>
        <v>10001</v>
      </c>
      <c r="C8" s="313" t="str">
        <f>IF(LEFT(H8,3)="AP-",J8,"")</f>
        <v/>
      </c>
      <c r="D8" s="313" t="str">
        <f>IF(OR(E8=0,E8=""),"",COUNTIF($E$7:E8,E8)&amp;E8)</f>
        <v/>
      </c>
      <c r="E8" s="313" t="str">
        <f>IF(J8=filter,J8,"")</f>
        <v/>
      </c>
      <c r="G8" s="314"/>
      <c r="H8" s="315" t="s">
        <v>225</v>
      </c>
      <c r="I8" s="313" t="s">
        <v>223</v>
      </c>
      <c r="J8" s="316">
        <v>10001</v>
      </c>
      <c r="K8" s="313" t="str">
        <f t="shared" ref="K8:K33" si="0">IF(J8="","",VLOOKUP(J8,daftarakun,2,0))</f>
        <v>Kas</v>
      </c>
      <c r="L8" s="124"/>
      <c r="M8" s="124">
        <v>20000</v>
      </c>
    </row>
    <row r="9" spans="2:13" x14ac:dyDescent="0.3">
      <c r="B9" s="313">
        <f>IF(C9&lt;&gt;"","",J9)</f>
        <v>0</v>
      </c>
      <c r="C9" s="313" t="str">
        <f>IF(LEFT(H9,3)="AP-",J9,"")</f>
        <v/>
      </c>
      <c r="D9" s="313" t="str">
        <f>IF(OR(E9=0,E9=""),"",COUNTIF($E$7:E9,E9)&amp;E9)</f>
        <v/>
      </c>
      <c r="E9" s="313" t="str">
        <f>IF(J9=filter,J9,"")</f>
        <v/>
      </c>
      <c r="G9" s="314"/>
      <c r="H9" s="315"/>
      <c r="I9" s="313"/>
      <c r="J9" s="316"/>
      <c r="K9" s="313" t="str">
        <f t="shared" si="0"/>
        <v/>
      </c>
      <c r="L9" s="317"/>
      <c r="M9" s="124"/>
    </row>
    <row r="10" spans="2:13" x14ac:dyDescent="0.3">
      <c r="B10" s="313" t="str">
        <f>IF(C10&lt;&gt;"","",J10)</f>
        <v/>
      </c>
      <c r="C10" s="313">
        <f>IF(LEFT(H10,3)="AP-",J10,"")</f>
        <v>50006</v>
      </c>
      <c r="D10" s="313" t="str">
        <f>IF(OR(E10=0,E10=""),"",COUNTIF($E$7:E10,E10)&amp;E10)</f>
        <v>150006</v>
      </c>
      <c r="E10" s="313">
        <f>IF(J10=filter,J10,"")</f>
        <v>50006</v>
      </c>
      <c r="G10" s="314"/>
      <c r="H10" s="315" t="s">
        <v>216</v>
      </c>
      <c r="I10" s="313" t="s">
        <v>224</v>
      </c>
      <c r="J10" s="316">
        <v>50006</v>
      </c>
      <c r="K10" s="313" t="str">
        <f t="shared" si="0"/>
        <v>Beban Perlengkapan Kantor</v>
      </c>
      <c r="L10" s="124">
        <v>10000</v>
      </c>
      <c r="M10" s="124"/>
    </row>
    <row r="11" spans="2:13" x14ac:dyDescent="0.3">
      <c r="B11" s="313" t="str">
        <f>IF(C11&lt;&gt;"","",J11)</f>
        <v/>
      </c>
      <c r="C11" s="313">
        <f>IF(LEFT(H11,3)="AP-",J11,"")</f>
        <v>10006</v>
      </c>
      <c r="D11" s="313" t="str">
        <f>IF(OR(E11=0,E11=""),"",COUNTIF($E$7:E11,E11)&amp;E11)</f>
        <v/>
      </c>
      <c r="E11" s="313" t="str">
        <f>IF(J11=filter,J11,"")</f>
        <v/>
      </c>
      <c r="G11" s="314"/>
      <c r="H11" s="315" t="s">
        <v>216</v>
      </c>
      <c r="I11" s="313" t="s">
        <v>224</v>
      </c>
      <c r="J11" s="316">
        <v>10006</v>
      </c>
      <c r="K11" s="313" t="str">
        <f t="shared" si="0"/>
        <v>Perlengkapan Kantor</v>
      </c>
      <c r="L11" s="124"/>
      <c r="M11" s="124">
        <v>10000</v>
      </c>
    </row>
    <row r="12" spans="2:13" x14ac:dyDescent="0.3">
      <c r="B12" s="313">
        <f>IF(C12&lt;&gt;"","",J12)</f>
        <v>0</v>
      </c>
      <c r="C12" s="313" t="str">
        <f>IF(LEFT(H12,3)="AP-",J12,"")</f>
        <v/>
      </c>
      <c r="D12" s="313" t="str">
        <f>IF(OR(E12=0,E12=""),"",COUNTIF($E$7:E12,E12)&amp;E12)</f>
        <v/>
      </c>
      <c r="E12" s="313" t="str">
        <f>IF(J12=filter,J12,"")</f>
        <v/>
      </c>
      <c r="G12" s="318"/>
      <c r="H12" s="315"/>
      <c r="I12" s="313"/>
      <c r="J12" s="313"/>
      <c r="K12" s="313" t="str">
        <f t="shared" si="0"/>
        <v/>
      </c>
      <c r="L12" s="124"/>
      <c r="M12" s="124"/>
    </row>
    <row r="13" spans="2:13" x14ac:dyDescent="0.3">
      <c r="B13" s="313">
        <f>IF(C13&lt;&gt;"","",J13)</f>
        <v>0</v>
      </c>
      <c r="C13" s="313" t="str">
        <f>IF(LEFT(H13,3)="AP-",J13,"")</f>
        <v/>
      </c>
      <c r="D13" s="313" t="str">
        <f>IF(OR(E13=0,E13=""),"",COUNTIF($E$7:E13,E13)&amp;E13)</f>
        <v/>
      </c>
      <c r="E13" s="313" t="str">
        <f>IF(J13=filter,J13,"")</f>
        <v/>
      </c>
      <c r="G13" s="314"/>
      <c r="H13" s="315"/>
      <c r="I13" s="313"/>
      <c r="J13" s="313"/>
      <c r="K13" s="313" t="str">
        <f t="shared" si="0"/>
        <v/>
      </c>
      <c r="L13" s="124"/>
      <c r="M13" s="124"/>
    </row>
    <row r="14" spans="2:13" x14ac:dyDescent="0.3">
      <c r="B14" s="313">
        <f>IF(C14&lt;&gt;"","",J14)</f>
        <v>0</v>
      </c>
      <c r="C14" s="313" t="str">
        <f>IF(LEFT(H14,3)="AP-",J14,"")</f>
        <v/>
      </c>
      <c r="D14" s="313" t="str">
        <f>IF(OR(E14=0,E14=""),"",COUNTIF($E$7:E14,E14)&amp;E14)</f>
        <v/>
      </c>
      <c r="E14" s="313" t="str">
        <f>IF(J14=filter,J14,"")</f>
        <v/>
      </c>
      <c r="G14" s="314"/>
      <c r="H14" s="315"/>
      <c r="I14" s="313"/>
      <c r="J14" s="313"/>
      <c r="K14" s="313" t="str">
        <f t="shared" si="0"/>
        <v/>
      </c>
      <c r="L14" s="124"/>
      <c r="M14" s="124"/>
    </row>
    <row r="15" spans="2:13" x14ac:dyDescent="0.3">
      <c r="B15" s="313">
        <f>IF(C15&lt;&gt;"","",J15)</f>
        <v>0</v>
      </c>
      <c r="C15" s="313" t="str">
        <f>IF(LEFT(H15,3)="AP-",J15,"")</f>
        <v/>
      </c>
      <c r="D15" s="313" t="str">
        <f>IF(OR(E15=0,E15=""),"",COUNTIF($E$7:E15,E15)&amp;E15)</f>
        <v/>
      </c>
      <c r="E15" s="313" t="str">
        <f>IF(J15=filter,J15,"")</f>
        <v/>
      </c>
      <c r="G15" s="318"/>
      <c r="H15" s="315"/>
      <c r="I15" s="313"/>
      <c r="J15" s="313"/>
      <c r="K15" s="313" t="str">
        <f t="shared" si="0"/>
        <v/>
      </c>
      <c r="L15" s="124"/>
      <c r="M15" s="124"/>
    </row>
    <row r="16" spans="2:13" x14ac:dyDescent="0.3">
      <c r="B16" s="313">
        <f>IF(C16&lt;&gt;"","",J16)</f>
        <v>0</v>
      </c>
      <c r="C16" s="313" t="str">
        <f>IF(LEFT(H16,3)="AP-",J16,"")</f>
        <v/>
      </c>
      <c r="D16" s="313" t="str">
        <f>IF(OR(E16=0,E16=""),"",COUNTIF($E$7:E16,E16)&amp;E16)</f>
        <v/>
      </c>
      <c r="E16" s="313" t="str">
        <f>IF(J16=filter,J16,"")</f>
        <v/>
      </c>
      <c r="G16" s="314"/>
      <c r="H16" s="315"/>
      <c r="I16" s="313"/>
      <c r="J16" s="313"/>
      <c r="K16" s="313" t="str">
        <f t="shared" si="0"/>
        <v/>
      </c>
      <c r="L16" s="128"/>
      <c r="M16" s="128"/>
    </row>
    <row r="17" spans="2:13" x14ac:dyDescent="0.3">
      <c r="B17" s="313">
        <f>IF(C17&lt;&gt;"","",J17)</f>
        <v>0</v>
      </c>
      <c r="C17" s="313" t="str">
        <f>IF(LEFT(H17,3)="AP-",J17,"")</f>
        <v/>
      </c>
      <c r="D17" s="313" t="str">
        <f>IF(OR(E17=0,E17=""),"",COUNTIF($E$7:E17,E17)&amp;E17)</f>
        <v/>
      </c>
      <c r="E17" s="313" t="str">
        <f>IF(J17=filter,J17,"")</f>
        <v/>
      </c>
      <c r="G17" s="314"/>
      <c r="H17" s="315"/>
      <c r="I17" s="313"/>
      <c r="J17" s="313"/>
      <c r="K17" s="313" t="str">
        <f t="shared" si="0"/>
        <v/>
      </c>
      <c r="L17" s="124"/>
      <c r="M17" s="124"/>
    </row>
    <row r="18" spans="2:13" x14ac:dyDescent="0.3">
      <c r="B18" s="313">
        <f>IF(C18&lt;&gt;"","",J18)</f>
        <v>0</v>
      </c>
      <c r="C18" s="313" t="str">
        <f>IF(LEFT(H18,3)="AP-",J18,"")</f>
        <v/>
      </c>
      <c r="D18" s="313" t="str">
        <f>IF(OR(E18=0,E18=""),"",COUNTIF($E$7:E18,E18)&amp;E18)</f>
        <v/>
      </c>
      <c r="E18" s="313" t="str">
        <f>IF(J18=filter,J18,"")</f>
        <v/>
      </c>
      <c r="G18" s="314"/>
      <c r="H18" s="315"/>
      <c r="I18" s="313"/>
      <c r="J18" s="313"/>
      <c r="K18" s="313" t="str">
        <f t="shared" si="0"/>
        <v/>
      </c>
      <c r="L18" s="124"/>
      <c r="M18" s="124"/>
    </row>
    <row r="19" spans="2:13" x14ac:dyDescent="0.3">
      <c r="B19" s="313">
        <f>IF(C19&lt;&gt;"","",J19)</f>
        <v>0</v>
      </c>
      <c r="C19" s="313" t="str">
        <f>IF(LEFT(H19,3)="AP-",J19,"")</f>
        <v/>
      </c>
      <c r="D19" s="313" t="str">
        <f>IF(OR(E19=0,E19=""),"",COUNTIF($E$7:E19,E19)&amp;E19)</f>
        <v/>
      </c>
      <c r="E19" s="313" t="str">
        <f>IF(J19=filter,J19,"")</f>
        <v/>
      </c>
      <c r="G19" s="318"/>
      <c r="H19" s="315"/>
      <c r="I19" s="313"/>
      <c r="J19" s="313"/>
      <c r="K19" s="313" t="str">
        <f t="shared" si="0"/>
        <v/>
      </c>
      <c r="L19" s="128"/>
      <c r="M19" s="128"/>
    </row>
    <row r="20" spans="2:13" x14ac:dyDescent="0.3">
      <c r="B20" s="313">
        <f>IF(C20&lt;&gt;"","",J20)</f>
        <v>0</v>
      </c>
      <c r="C20" s="313" t="str">
        <f>IF(LEFT(H20,3)="AP-",J20,"")</f>
        <v/>
      </c>
      <c r="D20" s="313" t="str">
        <f>IF(OR(E20=0,E20=""),"",COUNTIF($E$7:E20,E20)&amp;E20)</f>
        <v/>
      </c>
      <c r="E20" s="313" t="str">
        <f>IF(J20=filter,J20,"")</f>
        <v/>
      </c>
      <c r="G20" s="314"/>
      <c r="H20" s="315"/>
      <c r="I20" s="313"/>
      <c r="J20" s="313"/>
      <c r="K20" s="313" t="str">
        <f t="shared" si="0"/>
        <v/>
      </c>
      <c r="L20" s="124"/>
      <c r="M20" s="124"/>
    </row>
    <row r="21" spans="2:13" x14ac:dyDescent="0.3">
      <c r="B21" s="313">
        <f>IF(C21&lt;&gt;"","",J21)</f>
        <v>0</v>
      </c>
      <c r="C21" s="313" t="str">
        <f>IF(LEFT(H21,3)="AP-",J21,"")</f>
        <v/>
      </c>
      <c r="D21" s="313" t="str">
        <f>IF(OR(E21=0,E21=""),"",COUNTIF($E$7:E21,E21)&amp;E21)</f>
        <v/>
      </c>
      <c r="E21" s="313" t="str">
        <f>IF(J21=filter,J21,"")</f>
        <v/>
      </c>
      <c r="G21" s="314"/>
      <c r="H21" s="315"/>
      <c r="I21" s="313"/>
      <c r="J21" s="313"/>
      <c r="K21" s="313" t="str">
        <f t="shared" si="0"/>
        <v/>
      </c>
      <c r="L21" s="124"/>
      <c r="M21" s="124"/>
    </row>
    <row r="22" spans="2:13" x14ac:dyDescent="0.3">
      <c r="B22" s="313">
        <f>IF(C22&lt;&gt;"","",J22)</f>
        <v>0</v>
      </c>
      <c r="C22" s="313" t="str">
        <f>IF(LEFT(H22,3)="AP-",J22,"")</f>
        <v/>
      </c>
      <c r="D22" s="313" t="str">
        <f>IF(OR(E22=0,E22=""),"",COUNTIF($E$7:E22,E22)&amp;E22)</f>
        <v/>
      </c>
      <c r="E22" s="313" t="str">
        <f>IF(J22=filter,J22,"")</f>
        <v/>
      </c>
      <c r="G22" s="318"/>
      <c r="H22" s="315"/>
      <c r="I22" s="313"/>
      <c r="J22" s="313"/>
      <c r="K22" s="313" t="str">
        <f t="shared" si="0"/>
        <v/>
      </c>
      <c r="L22" s="124"/>
      <c r="M22" s="124"/>
    </row>
    <row r="23" spans="2:13" x14ac:dyDescent="0.3">
      <c r="B23" s="313">
        <f>IF(C23&lt;&gt;"","",J23)</f>
        <v>0</v>
      </c>
      <c r="C23" s="313" t="str">
        <f>IF(LEFT(H23,3)="AP-",J23,"")</f>
        <v/>
      </c>
      <c r="D23" s="313" t="str">
        <f>IF(OR(E23=0,E23=""),"",COUNTIF($E$7:E23,E23)&amp;E23)</f>
        <v/>
      </c>
      <c r="E23" s="313" t="str">
        <f>IF(J23=filter,J23,"")</f>
        <v/>
      </c>
      <c r="G23" s="314"/>
      <c r="H23" s="315"/>
      <c r="I23" s="313"/>
      <c r="J23" s="313"/>
      <c r="K23" s="313" t="str">
        <f t="shared" si="0"/>
        <v/>
      </c>
      <c r="L23" s="124"/>
      <c r="M23" s="124"/>
    </row>
    <row r="24" spans="2:13" x14ac:dyDescent="0.3">
      <c r="B24" s="313">
        <f>IF(C24&lt;&gt;"","",J24)</f>
        <v>0</v>
      </c>
      <c r="C24" s="313" t="str">
        <f>IF(LEFT(H24,3)="AP-",J24,"")</f>
        <v/>
      </c>
      <c r="D24" s="313" t="str">
        <f>IF(OR(E24=0,E24=""),"",COUNTIF($E$7:E24,E24)&amp;E24)</f>
        <v/>
      </c>
      <c r="E24" s="313" t="str">
        <f>IF(J24=filter,J24,"")</f>
        <v/>
      </c>
      <c r="G24" s="314"/>
      <c r="H24" s="315"/>
      <c r="I24" s="313"/>
      <c r="J24" s="313"/>
      <c r="K24" s="313" t="str">
        <f t="shared" si="0"/>
        <v/>
      </c>
      <c r="L24" s="124"/>
      <c r="M24" s="124"/>
    </row>
    <row r="25" spans="2:13" x14ac:dyDescent="0.3">
      <c r="B25" s="313">
        <f>IF(C25&lt;&gt;"","",J25)</f>
        <v>0</v>
      </c>
      <c r="C25" s="313" t="str">
        <f>IF(LEFT(H25,3)="AP-",J25,"")</f>
        <v/>
      </c>
      <c r="D25" s="313" t="str">
        <f>IF(OR(E25=0,E25=""),"",COUNTIF($E$7:E25,E25)&amp;E25)</f>
        <v/>
      </c>
      <c r="E25" s="313" t="str">
        <f>IF(J25=filter,J25,"")</f>
        <v/>
      </c>
      <c r="G25" s="318"/>
      <c r="H25" s="315"/>
      <c r="I25" s="313"/>
      <c r="J25" s="313"/>
      <c r="K25" s="313" t="str">
        <f t="shared" si="0"/>
        <v/>
      </c>
      <c r="L25" s="124"/>
      <c r="M25" s="124"/>
    </row>
    <row r="26" spans="2:13" x14ac:dyDescent="0.3">
      <c r="B26" s="319">
        <f>IF(C26&lt;&gt;"","",J26)</f>
        <v>0</v>
      </c>
      <c r="C26" s="313" t="str">
        <f>IF(LEFT(H26,3)="AP-",J26,"")</f>
        <v/>
      </c>
      <c r="D26" s="313" t="str">
        <f>IF(OR(E26=0,E26=""),"",COUNTIF($E$7:E26,E26)&amp;E26)</f>
        <v/>
      </c>
      <c r="E26" s="313" t="str">
        <f>IF(J26=filter,J26,"")</f>
        <v/>
      </c>
      <c r="G26" s="318"/>
      <c r="H26" s="315"/>
      <c r="I26" s="313"/>
      <c r="J26" s="313"/>
      <c r="K26" s="313" t="str">
        <f t="shared" si="0"/>
        <v/>
      </c>
      <c r="L26" s="124"/>
      <c r="M26" s="124"/>
    </row>
    <row r="27" spans="2:13" x14ac:dyDescent="0.3">
      <c r="B27" s="313">
        <f>IF(C27&lt;&gt;"","",J27)</f>
        <v>0</v>
      </c>
      <c r="C27" s="313" t="str">
        <f>IF(LEFT(H27,3)="AP-",J27,"")</f>
        <v/>
      </c>
      <c r="D27" s="313" t="str">
        <f>IF(OR(E27=0,E27=""),"",COUNTIF($E$7:E27,E27)&amp;E27)</f>
        <v/>
      </c>
      <c r="E27" s="313" t="str">
        <f>IF(J27=filter,J27,"")</f>
        <v/>
      </c>
      <c r="G27" s="318"/>
      <c r="H27" s="315"/>
      <c r="I27" s="313"/>
      <c r="J27" s="313"/>
      <c r="K27" s="313" t="str">
        <f t="shared" si="0"/>
        <v/>
      </c>
      <c r="L27" s="124"/>
      <c r="M27" s="124"/>
    </row>
    <row r="28" spans="2:13" x14ac:dyDescent="0.3">
      <c r="B28" s="313">
        <f>IF(C28&lt;&gt;"","",J28)</f>
        <v>0</v>
      </c>
      <c r="C28" s="313" t="str">
        <f>IF(LEFT(H28,3)="AP-",J28,"")</f>
        <v/>
      </c>
      <c r="D28" s="313" t="str">
        <f>IF(OR(E28=0,E28=""),"",COUNTIF($E$7:E28,E28)&amp;E28)</f>
        <v/>
      </c>
      <c r="E28" s="313" t="str">
        <f>IF(J28=filter,J28,"")</f>
        <v/>
      </c>
      <c r="G28" s="318"/>
      <c r="H28" s="315"/>
      <c r="I28" s="313"/>
      <c r="J28" s="313"/>
      <c r="K28" s="313" t="str">
        <f t="shared" si="0"/>
        <v/>
      </c>
      <c r="L28" s="124"/>
      <c r="M28" s="124"/>
    </row>
    <row r="29" spans="2:13" x14ac:dyDescent="0.3">
      <c r="B29" s="313">
        <f>IF(C29&lt;&gt;"","",J29)</f>
        <v>0</v>
      </c>
      <c r="C29" s="313" t="str">
        <f>IF(LEFT(H29,3)="AP-",J29,"")</f>
        <v/>
      </c>
      <c r="D29" s="313" t="str">
        <f>IF(OR(E29=0,E29=""),"",COUNTIF($E$7:E29,E29)&amp;E29)</f>
        <v/>
      </c>
      <c r="E29" s="313" t="str">
        <f>IF(J29=filter,J29,"")</f>
        <v/>
      </c>
      <c r="G29" s="318"/>
      <c r="H29" s="315"/>
      <c r="I29" s="313"/>
      <c r="J29" s="313"/>
      <c r="K29" s="313" t="str">
        <f t="shared" si="0"/>
        <v/>
      </c>
      <c r="L29" s="124"/>
      <c r="M29" s="124"/>
    </row>
    <row r="30" spans="2:13" x14ac:dyDescent="0.3">
      <c r="B30" s="313">
        <f>IF(C30&lt;&gt;"","",J30)</f>
        <v>0</v>
      </c>
      <c r="C30" s="313" t="str">
        <f>IF(LEFT(H30,3)="AP-",J30,"")</f>
        <v/>
      </c>
      <c r="D30" s="313" t="str">
        <f>IF(OR(E30=0,E30=""),"",COUNTIF($E$7:E30,E30)&amp;E30)</f>
        <v/>
      </c>
      <c r="E30" s="313" t="str">
        <f>IF(J30=filter,J30,"")</f>
        <v/>
      </c>
      <c r="G30" s="318"/>
      <c r="H30" s="315"/>
      <c r="I30" s="313"/>
      <c r="J30" s="313"/>
      <c r="K30" s="313" t="str">
        <f t="shared" si="0"/>
        <v/>
      </c>
      <c r="L30" s="124"/>
      <c r="M30" s="124"/>
    </row>
    <row r="31" spans="2:13" x14ac:dyDescent="0.3">
      <c r="B31" s="313">
        <f>IF(C31&lt;&gt;"","",J31)</f>
        <v>0</v>
      </c>
      <c r="C31" s="313" t="str">
        <f>IF(LEFT(H31,3)="AP-",J31,"")</f>
        <v/>
      </c>
      <c r="D31" s="313" t="str">
        <f>IF(OR(E31=0,E31=""),"",COUNTIF($E$7:E31,E31)&amp;E31)</f>
        <v/>
      </c>
      <c r="E31" s="313" t="str">
        <f>IF(J31=filter,J31,"")</f>
        <v/>
      </c>
      <c r="G31" s="318"/>
      <c r="H31" s="315"/>
      <c r="I31" s="313"/>
      <c r="J31" s="313"/>
      <c r="K31" s="313" t="str">
        <f t="shared" si="0"/>
        <v/>
      </c>
      <c r="L31" s="124"/>
      <c r="M31" s="124"/>
    </row>
    <row r="32" spans="2:13" x14ac:dyDescent="0.3">
      <c r="B32" s="313">
        <f>IF(C32&lt;&gt;"","",J32)</f>
        <v>0</v>
      </c>
      <c r="C32" s="313" t="str">
        <f>IF(LEFT(H32,3)="AP-",J32,"")</f>
        <v/>
      </c>
      <c r="D32" s="313" t="str">
        <f>IF(OR(E32=0,E32=""),"",COUNTIF($E$7:E32,E32)&amp;E32)</f>
        <v/>
      </c>
      <c r="E32" s="313" t="str">
        <f>IF(J32=filter,J32,"")</f>
        <v/>
      </c>
      <c r="G32" s="318"/>
      <c r="H32" s="315"/>
      <c r="I32" s="313"/>
      <c r="J32" s="313"/>
      <c r="K32" s="313" t="str">
        <f t="shared" si="0"/>
        <v/>
      </c>
      <c r="L32" s="124"/>
      <c r="M32" s="124"/>
    </row>
    <row r="33" spans="2:13" x14ac:dyDescent="0.3">
      <c r="B33" s="313">
        <f>IF(C33&lt;&gt;"","",J33)</f>
        <v>0</v>
      </c>
      <c r="C33" s="313" t="str">
        <f>IF(LEFT(H33,3)="AP-",J33,"")</f>
        <v/>
      </c>
      <c r="D33" s="313" t="str">
        <f>IF(OR(E33=0,E33=""),"",COUNTIF($E$7:E33,E33)&amp;E33)</f>
        <v/>
      </c>
      <c r="E33" s="313" t="str">
        <f>IF(J33=filter,J33,"")</f>
        <v/>
      </c>
      <c r="G33" s="320"/>
      <c r="H33" s="321"/>
      <c r="I33" s="313"/>
      <c r="J33" s="322"/>
      <c r="K33" s="322" t="str">
        <f t="shared" si="0"/>
        <v/>
      </c>
      <c r="L33" s="130"/>
      <c r="M33" s="130"/>
    </row>
    <row r="34" spans="2:13" x14ac:dyDescent="0.3">
      <c r="B34" s="313">
        <f>IF(C34&lt;&gt;"","",J34)</f>
        <v>0</v>
      </c>
      <c r="C34" s="313" t="str">
        <f>IF(LEFT(H34,3)="AP-",J34,"")</f>
        <v/>
      </c>
      <c r="D34" s="313" t="str">
        <f>IF(OR(E34=0,E34=""),"",COUNTIF($E$7:E34,E34)&amp;E34)</f>
        <v/>
      </c>
      <c r="E34" s="313" t="str">
        <f>IF(J34=filter,J34,"")</f>
        <v/>
      </c>
      <c r="G34" s="320"/>
      <c r="H34" s="321"/>
      <c r="I34" s="322"/>
      <c r="J34" s="322"/>
      <c r="K34" s="322"/>
      <c r="L34" s="131"/>
      <c r="M34" s="131"/>
    </row>
    <row r="35" spans="2:13" x14ac:dyDescent="0.3">
      <c r="B35" s="313">
        <f>IF(C35&lt;&gt;"","",J35)</f>
        <v>0</v>
      </c>
      <c r="C35" s="313" t="str">
        <f>IF(LEFT(H35,3)="AP-",J35,"")</f>
        <v/>
      </c>
      <c r="D35" s="313" t="str">
        <f>IF(OR(E35=0,E35=""),"",COUNTIF($E$7:E35,E35)&amp;E35)</f>
        <v/>
      </c>
      <c r="E35" s="313" t="str">
        <f>IF(J35=filter,J35,"")</f>
        <v/>
      </c>
      <c r="G35" s="320"/>
      <c r="H35" s="321"/>
      <c r="I35" s="322"/>
      <c r="J35" s="322"/>
      <c r="K35" s="322" t="str">
        <f t="shared" ref="K35:K66" si="1">IF(J35="","",VLOOKUP(J35,daftarakun,2,0))</f>
        <v/>
      </c>
      <c r="L35" s="130"/>
      <c r="M35" s="130"/>
    </row>
    <row r="36" spans="2:13" x14ac:dyDescent="0.3">
      <c r="B36" s="313">
        <f>IF(C36&lt;&gt;"","",J36)</f>
        <v>0</v>
      </c>
      <c r="C36" s="313" t="str">
        <f>IF(LEFT(H36,3)="AP-",J36,"")</f>
        <v/>
      </c>
      <c r="D36" s="313" t="str">
        <f>IF(OR(E36=0,E36=""),"",COUNTIF($E$7:E36,E36)&amp;E36)</f>
        <v/>
      </c>
      <c r="E36" s="313" t="str">
        <f>IF(J36=filter,J36,"")</f>
        <v/>
      </c>
      <c r="G36" s="320"/>
      <c r="H36" s="321"/>
      <c r="I36" s="322"/>
      <c r="J36" s="322"/>
      <c r="K36" s="322" t="str">
        <f t="shared" si="1"/>
        <v/>
      </c>
      <c r="L36" s="130"/>
      <c r="M36" s="130"/>
    </row>
    <row r="37" spans="2:13" x14ac:dyDescent="0.3">
      <c r="B37" s="313">
        <f>IF(C37&lt;&gt;"","",J37)</f>
        <v>0</v>
      </c>
      <c r="C37" s="313" t="str">
        <f>IF(LEFT(H37,3)="AP-",J37,"")</f>
        <v/>
      </c>
      <c r="D37" s="313" t="str">
        <f>IF(OR(E37=0,E37=""),"",COUNTIF($E$7:E37,E37)&amp;E37)</f>
        <v/>
      </c>
      <c r="E37" s="313" t="str">
        <f>IF(J37=filter,J37,"")</f>
        <v/>
      </c>
      <c r="G37" s="320"/>
      <c r="H37" s="321"/>
      <c r="I37" s="322"/>
      <c r="J37" s="322"/>
      <c r="K37" s="322" t="str">
        <f t="shared" si="1"/>
        <v/>
      </c>
      <c r="L37" s="130"/>
      <c r="M37" s="130"/>
    </row>
    <row r="38" spans="2:13" x14ac:dyDescent="0.3">
      <c r="B38" s="313">
        <f>IF(C38&lt;&gt;"","",J38)</f>
        <v>0</v>
      </c>
      <c r="C38" s="313" t="str">
        <f>IF(LEFT(H38,3)="AP-",J38,"")</f>
        <v/>
      </c>
      <c r="D38" s="313" t="str">
        <f>IF(OR(E38=0,E38=""),"",COUNTIF($E$7:E38,E38)&amp;E38)</f>
        <v/>
      </c>
      <c r="E38" s="313" t="str">
        <f>IF(J38=filter,J38,"")</f>
        <v/>
      </c>
      <c r="G38" s="320"/>
      <c r="H38" s="321"/>
      <c r="I38" s="322"/>
      <c r="J38" s="322"/>
      <c r="K38" s="322" t="str">
        <f t="shared" si="1"/>
        <v/>
      </c>
      <c r="L38" s="130"/>
      <c r="M38" s="130"/>
    </row>
    <row r="39" spans="2:13" x14ac:dyDescent="0.3">
      <c r="B39" s="313">
        <f>IF(C39&lt;&gt;"","",J39)</f>
        <v>0</v>
      </c>
      <c r="C39" s="313" t="str">
        <f t="shared" ref="C39:C70" si="2">IF(LEFT(H39,3)="AP-",J39,"")</f>
        <v/>
      </c>
      <c r="D39" s="313" t="str">
        <f>IF(OR(E39=0,E39=""),"",COUNTIF($E$7:E39,E39)&amp;E39)</f>
        <v/>
      </c>
      <c r="E39" s="313" t="str">
        <f t="shared" ref="E39:E70" si="3">IF(J39=filter,J39,"")</f>
        <v/>
      </c>
      <c r="G39" s="320"/>
      <c r="H39" s="321"/>
      <c r="I39" s="322"/>
      <c r="J39" s="322"/>
      <c r="K39" s="322" t="str">
        <f t="shared" si="1"/>
        <v/>
      </c>
      <c r="L39" s="130"/>
      <c r="M39" s="130"/>
    </row>
    <row r="40" spans="2:13" x14ac:dyDescent="0.3">
      <c r="B40" s="313">
        <f>IF(C40&lt;&gt;"","",J40)</f>
        <v>0</v>
      </c>
      <c r="C40" s="313" t="str">
        <f t="shared" si="2"/>
        <v/>
      </c>
      <c r="D40" s="313" t="str">
        <f>IF(OR(E40=0,E40=""),"",COUNTIF($E$7:E40,E40)&amp;E40)</f>
        <v/>
      </c>
      <c r="E40" s="313" t="str">
        <f t="shared" si="3"/>
        <v/>
      </c>
      <c r="G40" s="320"/>
      <c r="H40" s="321"/>
      <c r="I40" s="322"/>
      <c r="J40" s="322"/>
      <c r="K40" s="322" t="str">
        <f t="shared" si="1"/>
        <v/>
      </c>
      <c r="L40" s="130"/>
      <c r="M40" s="130"/>
    </row>
    <row r="41" spans="2:13" x14ac:dyDescent="0.3">
      <c r="B41" s="313">
        <f>IF(C41&lt;&gt;"","",J41)</f>
        <v>0</v>
      </c>
      <c r="C41" s="313" t="str">
        <f t="shared" si="2"/>
        <v/>
      </c>
      <c r="D41" s="313" t="str">
        <f>IF(OR(E41=0,E41=""),"",COUNTIF($E$7:E41,E41)&amp;E41)</f>
        <v/>
      </c>
      <c r="E41" s="313" t="str">
        <f t="shared" si="3"/>
        <v/>
      </c>
      <c r="G41" s="320"/>
      <c r="H41" s="321"/>
      <c r="I41" s="322"/>
      <c r="J41" s="322"/>
      <c r="K41" s="322" t="str">
        <f t="shared" si="1"/>
        <v/>
      </c>
      <c r="L41" s="130"/>
      <c r="M41" s="130"/>
    </row>
    <row r="42" spans="2:13" x14ac:dyDescent="0.3">
      <c r="B42" s="313">
        <f>IF(C42&lt;&gt;"","",J42)</f>
        <v>0</v>
      </c>
      <c r="C42" s="313" t="str">
        <f t="shared" si="2"/>
        <v/>
      </c>
      <c r="D42" s="313" t="str">
        <f>IF(OR(E42=0,E42=""),"",COUNTIF($E$7:E42,E42)&amp;E42)</f>
        <v/>
      </c>
      <c r="E42" s="313" t="str">
        <f t="shared" si="3"/>
        <v/>
      </c>
      <c r="G42" s="320"/>
      <c r="H42" s="321"/>
      <c r="I42" s="322"/>
      <c r="J42" s="322"/>
      <c r="K42" s="322" t="str">
        <f t="shared" si="1"/>
        <v/>
      </c>
      <c r="L42" s="130"/>
      <c r="M42" s="130"/>
    </row>
    <row r="43" spans="2:13" x14ac:dyDescent="0.3">
      <c r="B43" s="313">
        <f>IF(C43&lt;&gt;"","",J43)</f>
        <v>0</v>
      </c>
      <c r="C43" s="313" t="str">
        <f t="shared" si="2"/>
        <v/>
      </c>
      <c r="D43" s="313" t="str">
        <f>IF(OR(E43=0,E43=""),"",COUNTIF($E$7:E43,E43)&amp;E43)</f>
        <v/>
      </c>
      <c r="E43" s="313" t="str">
        <f t="shared" si="3"/>
        <v/>
      </c>
      <c r="G43" s="320"/>
      <c r="H43" s="321"/>
      <c r="I43" s="322"/>
      <c r="J43" s="322"/>
      <c r="K43" s="322" t="str">
        <f t="shared" si="1"/>
        <v/>
      </c>
      <c r="L43" s="130"/>
      <c r="M43" s="130"/>
    </row>
    <row r="44" spans="2:13" x14ac:dyDescent="0.3">
      <c r="B44" s="313">
        <f>IF(C44&lt;&gt;"","",J44)</f>
        <v>0</v>
      </c>
      <c r="C44" s="313" t="str">
        <f t="shared" si="2"/>
        <v/>
      </c>
      <c r="D44" s="313" t="str">
        <f>IF(OR(E44=0,E44=""),"",COUNTIF($E$7:E44,E44)&amp;E44)</f>
        <v/>
      </c>
      <c r="E44" s="313" t="str">
        <f t="shared" si="3"/>
        <v/>
      </c>
      <c r="G44" s="320"/>
      <c r="H44" s="321"/>
      <c r="I44" s="322"/>
      <c r="J44" s="322"/>
      <c r="K44" s="322" t="str">
        <f t="shared" si="1"/>
        <v/>
      </c>
      <c r="L44" s="130"/>
      <c r="M44" s="130"/>
    </row>
    <row r="45" spans="2:13" x14ac:dyDescent="0.3">
      <c r="B45" s="313">
        <f>IF(C45&lt;&gt;"","",J45)</f>
        <v>0</v>
      </c>
      <c r="C45" s="313" t="str">
        <f t="shared" si="2"/>
        <v/>
      </c>
      <c r="D45" s="313" t="str">
        <f>IF(OR(E45=0,E45=""),"",COUNTIF($E$7:E45,E45)&amp;E45)</f>
        <v/>
      </c>
      <c r="E45" s="313" t="str">
        <f t="shared" si="3"/>
        <v/>
      </c>
      <c r="G45" s="320"/>
      <c r="H45" s="321"/>
      <c r="I45" s="322"/>
      <c r="J45" s="322"/>
      <c r="K45" s="322" t="str">
        <f t="shared" si="1"/>
        <v/>
      </c>
      <c r="L45" s="130"/>
      <c r="M45" s="130"/>
    </row>
    <row r="46" spans="2:13" x14ac:dyDescent="0.3">
      <c r="B46" s="313">
        <f>IF(C46&lt;&gt;"","",J46)</f>
        <v>0</v>
      </c>
      <c r="C46" s="313" t="str">
        <f t="shared" si="2"/>
        <v/>
      </c>
      <c r="D46" s="313" t="str">
        <f>IF(OR(E46=0,E46=""),"",COUNTIF($E$7:E46,E46)&amp;E46)</f>
        <v/>
      </c>
      <c r="E46" s="313" t="str">
        <f t="shared" si="3"/>
        <v/>
      </c>
      <c r="G46" s="320"/>
      <c r="H46" s="321"/>
      <c r="I46" s="322"/>
      <c r="J46" s="322"/>
      <c r="K46" s="322" t="str">
        <f t="shared" si="1"/>
        <v/>
      </c>
      <c r="L46" s="130"/>
      <c r="M46" s="130"/>
    </row>
    <row r="47" spans="2:13" x14ac:dyDescent="0.3">
      <c r="B47" s="313">
        <f>IF(C47&lt;&gt;"","",J47)</f>
        <v>0</v>
      </c>
      <c r="C47" s="313" t="str">
        <f t="shared" si="2"/>
        <v/>
      </c>
      <c r="D47" s="313" t="str">
        <f>IF(OR(E47=0,E47=""),"",COUNTIF($E$7:E47,E47)&amp;E47)</f>
        <v/>
      </c>
      <c r="E47" s="313" t="str">
        <f t="shared" si="3"/>
        <v/>
      </c>
      <c r="G47" s="320"/>
      <c r="H47" s="321"/>
      <c r="I47" s="322"/>
      <c r="J47" s="322"/>
      <c r="K47" s="322" t="str">
        <f t="shared" si="1"/>
        <v/>
      </c>
      <c r="L47" s="130"/>
      <c r="M47" s="130"/>
    </row>
    <row r="48" spans="2:13" x14ac:dyDescent="0.3">
      <c r="B48" s="313">
        <f>IF(C48&lt;&gt;"","",J48)</f>
        <v>0</v>
      </c>
      <c r="C48" s="313" t="str">
        <f t="shared" si="2"/>
        <v/>
      </c>
      <c r="D48" s="313" t="str">
        <f>IF(OR(E48=0,E48=""),"",COUNTIF($E$7:E48,E48)&amp;E48)</f>
        <v/>
      </c>
      <c r="E48" s="313" t="str">
        <f t="shared" si="3"/>
        <v/>
      </c>
      <c r="G48" s="320"/>
      <c r="H48" s="321"/>
      <c r="I48" s="322"/>
      <c r="J48" s="322"/>
      <c r="K48" s="322" t="str">
        <f t="shared" si="1"/>
        <v/>
      </c>
      <c r="L48" s="130"/>
      <c r="M48" s="130"/>
    </row>
    <row r="49" spans="2:13" x14ac:dyDescent="0.3">
      <c r="B49" s="313">
        <f>IF(C49&lt;&gt;"","",J49)</f>
        <v>0</v>
      </c>
      <c r="C49" s="313" t="str">
        <f t="shared" si="2"/>
        <v/>
      </c>
      <c r="D49" s="313" t="str">
        <f>IF(OR(E49=0,E49=""),"",COUNTIF($E$7:E49,E49)&amp;E49)</f>
        <v/>
      </c>
      <c r="E49" s="313" t="str">
        <f t="shared" si="3"/>
        <v/>
      </c>
      <c r="G49" s="320"/>
      <c r="H49" s="321"/>
      <c r="I49" s="322"/>
      <c r="J49" s="322"/>
      <c r="K49" s="322" t="str">
        <f t="shared" si="1"/>
        <v/>
      </c>
      <c r="L49" s="130"/>
      <c r="M49" s="130"/>
    </row>
    <row r="50" spans="2:13" x14ac:dyDescent="0.3">
      <c r="B50" s="313">
        <f>IF(C50&lt;&gt;"","",J50)</f>
        <v>0</v>
      </c>
      <c r="C50" s="313" t="str">
        <f t="shared" si="2"/>
        <v/>
      </c>
      <c r="D50" s="313" t="str">
        <f>IF(OR(E50=0,E50=""),"",COUNTIF($E$7:E50,E50)&amp;E50)</f>
        <v/>
      </c>
      <c r="E50" s="313" t="str">
        <f t="shared" si="3"/>
        <v/>
      </c>
      <c r="G50" s="318"/>
      <c r="H50" s="315"/>
      <c r="I50" s="313"/>
      <c r="J50" s="313"/>
      <c r="K50" s="322" t="str">
        <f t="shared" si="1"/>
        <v/>
      </c>
      <c r="L50" s="124"/>
      <c r="M50" s="124"/>
    </row>
    <row r="51" spans="2:13" x14ac:dyDescent="0.3">
      <c r="B51" s="313">
        <f>IF(C51&lt;&gt;"","",J51)</f>
        <v>0</v>
      </c>
      <c r="C51" s="313" t="str">
        <f t="shared" si="2"/>
        <v/>
      </c>
      <c r="D51" s="313" t="str">
        <f>IF(OR(E51=0,E51=""),"",COUNTIF($E$7:E51,E51)&amp;E51)</f>
        <v/>
      </c>
      <c r="E51" s="313" t="str">
        <f t="shared" si="3"/>
        <v/>
      </c>
      <c r="G51" s="318"/>
      <c r="H51" s="315"/>
      <c r="I51" s="313"/>
      <c r="J51" s="313"/>
      <c r="K51" s="322" t="str">
        <f t="shared" si="1"/>
        <v/>
      </c>
      <c r="L51" s="124"/>
      <c r="M51" s="124"/>
    </row>
    <row r="52" spans="2:13" x14ac:dyDescent="0.3">
      <c r="B52" s="313">
        <f>IF(C52&lt;&gt;"","",J52)</f>
        <v>0</v>
      </c>
      <c r="C52" s="313" t="str">
        <f t="shared" si="2"/>
        <v/>
      </c>
      <c r="D52" s="313" t="str">
        <f>IF(OR(E52=0,E52=""),"",COUNTIF($E$7:E52,E52)&amp;E52)</f>
        <v/>
      </c>
      <c r="E52" s="313" t="str">
        <f t="shared" si="3"/>
        <v/>
      </c>
      <c r="G52" s="318"/>
      <c r="H52" s="315"/>
      <c r="I52" s="313"/>
      <c r="J52" s="313"/>
      <c r="K52" s="322" t="str">
        <f t="shared" si="1"/>
        <v/>
      </c>
      <c r="L52" s="124"/>
      <c r="M52" s="124"/>
    </row>
    <row r="53" spans="2:13" x14ac:dyDescent="0.3">
      <c r="B53" s="313">
        <f>IF(C53&lt;&gt;"","",J53)</f>
        <v>0</v>
      </c>
      <c r="C53" s="313" t="str">
        <f t="shared" si="2"/>
        <v/>
      </c>
      <c r="D53" s="313" t="str">
        <f>IF(OR(E53=0,E53=""),"",COUNTIF($E$7:E53,E53)&amp;E53)</f>
        <v/>
      </c>
      <c r="E53" s="313" t="str">
        <f t="shared" si="3"/>
        <v/>
      </c>
      <c r="G53" s="318"/>
      <c r="H53" s="315"/>
      <c r="I53" s="313"/>
      <c r="J53" s="313"/>
      <c r="K53" s="322" t="str">
        <f t="shared" si="1"/>
        <v/>
      </c>
      <c r="L53" s="124"/>
      <c r="M53" s="124"/>
    </row>
    <row r="54" spans="2:13" x14ac:dyDescent="0.3">
      <c r="B54" s="313">
        <f>IF(C54&lt;&gt;"","",J54)</f>
        <v>0</v>
      </c>
      <c r="C54" s="313" t="str">
        <f t="shared" si="2"/>
        <v/>
      </c>
      <c r="D54" s="313" t="str">
        <f>IF(OR(E54=0,E54=""),"",COUNTIF($E$7:E54,E54)&amp;E54)</f>
        <v/>
      </c>
      <c r="E54" s="313" t="str">
        <f t="shared" si="3"/>
        <v/>
      </c>
      <c r="G54" s="318"/>
      <c r="H54" s="315"/>
      <c r="I54" s="313"/>
      <c r="J54" s="313"/>
      <c r="K54" s="322" t="str">
        <f t="shared" si="1"/>
        <v/>
      </c>
      <c r="L54" s="124"/>
      <c r="M54" s="124"/>
    </row>
    <row r="55" spans="2:13" x14ac:dyDescent="0.3">
      <c r="B55" s="313">
        <f>IF(C55&lt;&gt;"","",J55)</f>
        <v>0</v>
      </c>
      <c r="C55" s="313" t="str">
        <f t="shared" si="2"/>
        <v/>
      </c>
      <c r="D55" s="313" t="str">
        <f>IF(OR(E55=0,E55=""),"",COUNTIF($E$7:E55,E55)&amp;E55)</f>
        <v/>
      </c>
      <c r="E55" s="313" t="str">
        <f t="shared" si="3"/>
        <v/>
      </c>
      <c r="G55" s="318"/>
      <c r="H55" s="315"/>
      <c r="I55" s="313"/>
      <c r="J55" s="313"/>
      <c r="K55" s="322" t="str">
        <f t="shared" si="1"/>
        <v/>
      </c>
      <c r="L55" s="124"/>
      <c r="M55" s="124"/>
    </row>
    <row r="56" spans="2:13" x14ac:dyDescent="0.3">
      <c r="B56" s="313">
        <f>IF(C56&lt;&gt;"","",J56)</f>
        <v>0</v>
      </c>
      <c r="C56" s="313" t="str">
        <f t="shared" si="2"/>
        <v/>
      </c>
      <c r="D56" s="313" t="str">
        <f>IF(OR(E56=0,E56=""),"",COUNTIF($E$7:E56,E56)&amp;E56)</f>
        <v/>
      </c>
      <c r="E56" s="313" t="str">
        <f t="shared" si="3"/>
        <v/>
      </c>
      <c r="G56" s="318"/>
      <c r="H56" s="315"/>
      <c r="I56" s="313"/>
      <c r="J56" s="313"/>
      <c r="K56" s="322" t="str">
        <f t="shared" si="1"/>
        <v/>
      </c>
      <c r="L56" s="124"/>
      <c r="M56" s="124"/>
    </row>
    <row r="57" spans="2:13" x14ac:dyDescent="0.3">
      <c r="B57" s="313">
        <f>IF(C57&lt;&gt;"","",J57)</f>
        <v>0</v>
      </c>
      <c r="C57" s="313" t="str">
        <f t="shared" si="2"/>
        <v/>
      </c>
      <c r="D57" s="313" t="str">
        <f>IF(OR(E57=0,E57=""),"",COUNTIF($E$7:E57,E57)&amp;E57)</f>
        <v/>
      </c>
      <c r="E57" s="313" t="str">
        <f t="shared" si="3"/>
        <v/>
      </c>
      <c r="G57" s="318"/>
      <c r="H57" s="315"/>
      <c r="I57" s="313"/>
      <c r="J57" s="313"/>
      <c r="K57" s="322" t="str">
        <f t="shared" si="1"/>
        <v/>
      </c>
      <c r="L57" s="124"/>
      <c r="M57" s="124"/>
    </row>
    <row r="58" spans="2:13" x14ac:dyDescent="0.3">
      <c r="B58" s="313">
        <f>IF(C58&lt;&gt;"","",J58)</f>
        <v>0</v>
      </c>
      <c r="C58" s="313" t="str">
        <f t="shared" si="2"/>
        <v/>
      </c>
      <c r="D58" s="313" t="str">
        <f>IF(OR(E58=0,E58=""),"",COUNTIF($E$7:E58,E58)&amp;E58)</f>
        <v/>
      </c>
      <c r="E58" s="313" t="str">
        <f t="shared" si="3"/>
        <v/>
      </c>
      <c r="G58" s="318"/>
      <c r="H58" s="315"/>
      <c r="I58" s="313"/>
      <c r="J58" s="313"/>
      <c r="K58" s="322" t="str">
        <f t="shared" si="1"/>
        <v/>
      </c>
      <c r="L58" s="124"/>
      <c r="M58" s="124"/>
    </row>
    <row r="59" spans="2:13" x14ac:dyDescent="0.3">
      <c r="B59" s="313">
        <f>IF(C59&lt;&gt;"","",J59)</f>
        <v>0</v>
      </c>
      <c r="C59" s="313" t="str">
        <f t="shared" si="2"/>
        <v/>
      </c>
      <c r="D59" s="313" t="str">
        <f>IF(OR(E59=0,E59=""),"",COUNTIF($E$7:E59,E59)&amp;E59)</f>
        <v/>
      </c>
      <c r="E59" s="313" t="str">
        <f t="shared" si="3"/>
        <v/>
      </c>
      <c r="G59" s="318"/>
      <c r="H59" s="315"/>
      <c r="I59" s="313"/>
      <c r="J59" s="313"/>
      <c r="K59" s="322" t="str">
        <f t="shared" si="1"/>
        <v/>
      </c>
      <c r="L59" s="124"/>
      <c r="M59" s="124"/>
    </row>
    <row r="60" spans="2:13" x14ac:dyDescent="0.3">
      <c r="B60" s="313">
        <f>IF(C60&lt;&gt;"","",J60)</f>
        <v>0</v>
      </c>
      <c r="C60" s="313" t="str">
        <f t="shared" si="2"/>
        <v/>
      </c>
      <c r="D60" s="313" t="str">
        <f>IF(OR(E60=0,E60=""),"",COUNTIF($E$7:E60,E60)&amp;E60)</f>
        <v/>
      </c>
      <c r="E60" s="313" t="str">
        <f t="shared" si="3"/>
        <v/>
      </c>
      <c r="G60" s="318"/>
      <c r="H60" s="315"/>
      <c r="I60" s="313"/>
      <c r="J60" s="313"/>
      <c r="K60" s="322" t="str">
        <f t="shared" si="1"/>
        <v/>
      </c>
      <c r="L60" s="124"/>
      <c r="M60" s="124"/>
    </row>
    <row r="61" spans="2:13" x14ac:dyDescent="0.3">
      <c r="B61" s="313">
        <f>IF(C61&lt;&gt;"","",J61)</f>
        <v>0</v>
      </c>
      <c r="C61" s="313" t="str">
        <f t="shared" si="2"/>
        <v/>
      </c>
      <c r="D61" s="313" t="str">
        <f>IF(OR(E61=0,E61=""),"",COUNTIF($E$7:E61,E61)&amp;E61)</f>
        <v/>
      </c>
      <c r="E61" s="313" t="str">
        <f t="shared" si="3"/>
        <v/>
      </c>
      <c r="G61" s="318"/>
      <c r="H61" s="315"/>
      <c r="I61" s="313"/>
      <c r="J61" s="313"/>
      <c r="K61" s="322" t="str">
        <f t="shared" si="1"/>
        <v/>
      </c>
      <c r="L61" s="124"/>
      <c r="M61" s="124"/>
    </row>
    <row r="62" spans="2:13" x14ac:dyDescent="0.3">
      <c r="B62" s="313">
        <f>IF(C62&lt;&gt;"","",J62)</f>
        <v>0</v>
      </c>
      <c r="C62" s="313" t="str">
        <f t="shared" si="2"/>
        <v/>
      </c>
      <c r="D62" s="313" t="str">
        <f>IF(OR(E62=0,E62=""),"",COUNTIF($E$7:E62,E62)&amp;E62)</f>
        <v/>
      </c>
      <c r="E62" s="313" t="str">
        <f t="shared" si="3"/>
        <v/>
      </c>
      <c r="G62" s="318"/>
      <c r="H62" s="315"/>
      <c r="I62" s="313"/>
      <c r="J62" s="313"/>
      <c r="K62" s="322" t="str">
        <f t="shared" si="1"/>
        <v/>
      </c>
      <c r="L62" s="124"/>
      <c r="M62" s="124"/>
    </row>
    <row r="63" spans="2:13" x14ac:dyDescent="0.3">
      <c r="B63" s="313">
        <f>IF(C63&lt;&gt;"","",J63)</f>
        <v>0</v>
      </c>
      <c r="C63" s="313" t="str">
        <f t="shared" si="2"/>
        <v/>
      </c>
      <c r="D63" s="313" t="str">
        <f>IF(OR(E63=0,E63=""),"",COUNTIF($E$7:E63,E63)&amp;E63)</f>
        <v/>
      </c>
      <c r="E63" s="313" t="str">
        <f t="shared" si="3"/>
        <v/>
      </c>
      <c r="G63" s="318"/>
      <c r="H63" s="315"/>
      <c r="I63" s="313"/>
      <c r="J63" s="313"/>
      <c r="K63" s="322" t="str">
        <f t="shared" si="1"/>
        <v/>
      </c>
      <c r="L63" s="124"/>
      <c r="M63" s="124"/>
    </row>
    <row r="64" spans="2:13" x14ac:dyDescent="0.3">
      <c r="B64" s="313">
        <f>IF(C64&lt;&gt;"","",J64)</f>
        <v>0</v>
      </c>
      <c r="C64" s="313" t="str">
        <f t="shared" si="2"/>
        <v/>
      </c>
      <c r="D64" s="313" t="str">
        <f>IF(OR(E64=0,E64=""),"",COUNTIF($E$7:E64,E64)&amp;E64)</f>
        <v/>
      </c>
      <c r="E64" s="313" t="str">
        <f t="shared" si="3"/>
        <v/>
      </c>
      <c r="G64" s="318"/>
      <c r="H64" s="315"/>
      <c r="I64" s="313"/>
      <c r="J64" s="313"/>
      <c r="K64" s="322" t="str">
        <f t="shared" si="1"/>
        <v/>
      </c>
      <c r="L64" s="124"/>
      <c r="M64" s="124"/>
    </row>
    <row r="65" spans="2:13" x14ac:dyDescent="0.3">
      <c r="B65" s="313">
        <f>IF(C65&lt;&gt;"","",J65)</f>
        <v>0</v>
      </c>
      <c r="C65" s="313" t="str">
        <f t="shared" si="2"/>
        <v/>
      </c>
      <c r="D65" s="313" t="str">
        <f>IF(OR(E65=0,E65=""),"",COUNTIF($E$7:E65,E65)&amp;E65)</f>
        <v/>
      </c>
      <c r="E65" s="313" t="str">
        <f t="shared" si="3"/>
        <v/>
      </c>
      <c r="G65" s="318"/>
      <c r="H65" s="315"/>
      <c r="I65" s="313"/>
      <c r="J65" s="313"/>
      <c r="K65" s="322" t="str">
        <f t="shared" si="1"/>
        <v/>
      </c>
      <c r="L65" s="124"/>
      <c r="M65" s="124"/>
    </row>
    <row r="66" spans="2:13" x14ac:dyDescent="0.3">
      <c r="B66" s="313">
        <f>IF(C66&lt;&gt;"","",J66)</f>
        <v>0</v>
      </c>
      <c r="C66" s="313" t="str">
        <f t="shared" si="2"/>
        <v/>
      </c>
      <c r="D66" s="313" t="str">
        <f>IF(OR(E66=0,E66=""),"",COUNTIF($E$7:E66,E66)&amp;E66)</f>
        <v/>
      </c>
      <c r="E66" s="313" t="str">
        <f t="shared" si="3"/>
        <v/>
      </c>
      <c r="G66" s="318"/>
      <c r="H66" s="315"/>
      <c r="I66" s="313"/>
      <c r="J66" s="313"/>
      <c r="K66" s="322" t="str">
        <f t="shared" si="1"/>
        <v/>
      </c>
      <c r="L66" s="124"/>
      <c r="M66" s="124"/>
    </row>
    <row r="67" spans="2:13" x14ac:dyDescent="0.3">
      <c r="B67" s="313">
        <f>IF(C67&lt;&gt;"","",J67)</f>
        <v>0</v>
      </c>
      <c r="C67" s="313" t="str">
        <f t="shared" si="2"/>
        <v/>
      </c>
      <c r="D67" s="313" t="str">
        <f>IF(OR(E67=0,E67=""),"",COUNTIF($E$7:E67,E67)&amp;E67)</f>
        <v/>
      </c>
      <c r="E67" s="313" t="str">
        <f t="shared" si="3"/>
        <v/>
      </c>
      <c r="G67" s="318"/>
      <c r="H67" s="315"/>
      <c r="I67" s="313"/>
      <c r="J67" s="313"/>
      <c r="K67" s="322" t="str">
        <f t="shared" ref="K67:K94" si="4">IF(J67="","",VLOOKUP(J67,daftarakun,2,0))</f>
        <v/>
      </c>
      <c r="L67" s="124"/>
      <c r="M67" s="124"/>
    </row>
    <row r="68" spans="2:13" x14ac:dyDescent="0.3">
      <c r="B68" s="313">
        <f>IF(C68&lt;&gt;"","",J68)</f>
        <v>0</v>
      </c>
      <c r="C68" s="313" t="str">
        <f t="shared" si="2"/>
        <v/>
      </c>
      <c r="D68" s="313" t="str">
        <f>IF(OR(E68=0,E68=""),"",COUNTIF($E$7:E68,E68)&amp;E68)</f>
        <v/>
      </c>
      <c r="E68" s="313" t="str">
        <f t="shared" si="3"/>
        <v/>
      </c>
      <c r="G68" s="318"/>
      <c r="H68" s="315"/>
      <c r="I68" s="313"/>
      <c r="J68" s="313"/>
      <c r="K68" s="322" t="str">
        <f t="shared" si="4"/>
        <v/>
      </c>
      <c r="L68" s="124"/>
      <c r="M68" s="124"/>
    </row>
    <row r="69" spans="2:13" x14ac:dyDescent="0.3">
      <c r="B69" s="313">
        <f>IF(C69&lt;&gt;"","",J69)</f>
        <v>0</v>
      </c>
      <c r="C69" s="313" t="str">
        <f t="shared" si="2"/>
        <v/>
      </c>
      <c r="D69" s="313" t="str">
        <f>IF(OR(E69=0,E69=""),"",COUNTIF($E$7:E69,E69)&amp;E69)</f>
        <v/>
      </c>
      <c r="E69" s="313" t="str">
        <f t="shared" si="3"/>
        <v/>
      </c>
      <c r="G69" s="318"/>
      <c r="H69" s="315"/>
      <c r="I69" s="313"/>
      <c r="J69" s="313"/>
      <c r="K69" s="322" t="str">
        <f t="shared" si="4"/>
        <v/>
      </c>
      <c r="L69" s="124"/>
      <c r="M69" s="124"/>
    </row>
    <row r="70" spans="2:13" x14ac:dyDescent="0.3">
      <c r="B70" s="313">
        <f>IF(C70&lt;&gt;"","",J70)</f>
        <v>0</v>
      </c>
      <c r="C70" s="313" t="str">
        <f t="shared" si="2"/>
        <v/>
      </c>
      <c r="D70" s="313" t="str">
        <f>IF(OR(E70=0,E70=""),"",COUNTIF($E$7:E70,E70)&amp;E70)</f>
        <v/>
      </c>
      <c r="E70" s="313" t="str">
        <f t="shared" si="3"/>
        <v/>
      </c>
      <c r="G70" s="318"/>
      <c r="H70" s="315"/>
      <c r="I70" s="313"/>
      <c r="J70" s="313"/>
      <c r="K70" s="322" t="str">
        <f t="shared" si="4"/>
        <v/>
      </c>
      <c r="L70" s="124"/>
      <c r="M70" s="124"/>
    </row>
    <row r="71" spans="2:13" x14ac:dyDescent="0.3">
      <c r="B71" s="313">
        <f>IF(C71&lt;&gt;"","",J71)</f>
        <v>0</v>
      </c>
      <c r="C71" s="313" t="str">
        <f t="shared" ref="C71:C94" si="5">IF(LEFT(H71,3)="AP-",J71,"")</f>
        <v/>
      </c>
      <c r="D71" s="313" t="str">
        <f>IF(OR(E71=0,E71=""),"",COUNTIF($E$7:E71,E71)&amp;E71)</f>
        <v/>
      </c>
      <c r="E71" s="313" t="str">
        <f t="shared" ref="E71:E94" si="6">IF(J71=filter,J71,"")</f>
        <v/>
      </c>
      <c r="G71" s="318"/>
      <c r="H71" s="315"/>
      <c r="I71" s="313"/>
      <c r="J71" s="313"/>
      <c r="K71" s="322" t="str">
        <f t="shared" si="4"/>
        <v/>
      </c>
      <c r="L71" s="124"/>
      <c r="M71" s="124"/>
    </row>
    <row r="72" spans="2:13" x14ac:dyDescent="0.3">
      <c r="B72" s="313">
        <f>IF(C72&lt;&gt;"","",J72)</f>
        <v>0</v>
      </c>
      <c r="C72" s="313" t="str">
        <f t="shared" si="5"/>
        <v/>
      </c>
      <c r="D72" s="313" t="str">
        <f>IF(OR(E72=0,E72=""),"",COUNTIF($E$7:E72,E72)&amp;E72)</f>
        <v/>
      </c>
      <c r="E72" s="313" t="str">
        <f t="shared" si="6"/>
        <v/>
      </c>
      <c r="G72" s="318"/>
      <c r="H72" s="315"/>
      <c r="I72" s="313"/>
      <c r="J72" s="313"/>
      <c r="K72" s="322" t="str">
        <f t="shared" si="4"/>
        <v/>
      </c>
      <c r="L72" s="124"/>
      <c r="M72" s="124"/>
    </row>
    <row r="73" spans="2:13" x14ac:dyDescent="0.3">
      <c r="B73" s="313">
        <f>IF(C73&lt;&gt;"","",J73)</f>
        <v>0</v>
      </c>
      <c r="C73" s="313" t="str">
        <f t="shared" si="5"/>
        <v/>
      </c>
      <c r="D73" s="313" t="str">
        <f>IF(OR(E73=0,E73=""),"",COUNTIF($E$7:E73,E73)&amp;E73)</f>
        <v/>
      </c>
      <c r="E73" s="313" t="str">
        <f t="shared" si="6"/>
        <v/>
      </c>
      <c r="G73" s="318"/>
      <c r="H73" s="315"/>
      <c r="I73" s="313"/>
      <c r="J73" s="313"/>
      <c r="K73" s="322" t="str">
        <f t="shared" si="4"/>
        <v/>
      </c>
      <c r="L73" s="124"/>
      <c r="M73" s="124"/>
    </row>
    <row r="74" spans="2:13" x14ac:dyDescent="0.3">
      <c r="B74" s="313">
        <f>IF(C74&lt;&gt;"","",J74)</f>
        <v>0</v>
      </c>
      <c r="C74" s="313" t="str">
        <f t="shared" si="5"/>
        <v/>
      </c>
      <c r="D74" s="313" t="str">
        <f>IF(OR(E74=0,E74=""),"",COUNTIF($E$7:E74,E74)&amp;E74)</f>
        <v/>
      </c>
      <c r="E74" s="313" t="str">
        <f t="shared" si="6"/>
        <v/>
      </c>
      <c r="G74" s="318"/>
      <c r="H74" s="315"/>
      <c r="I74" s="313"/>
      <c r="J74" s="313"/>
      <c r="K74" s="322" t="str">
        <f t="shared" si="4"/>
        <v/>
      </c>
      <c r="L74" s="124"/>
      <c r="M74" s="124"/>
    </row>
    <row r="75" spans="2:13" x14ac:dyDescent="0.3">
      <c r="B75" s="313">
        <f>IF(C75&lt;&gt;"","",J75)</f>
        <v>0</v>
      </c>
      <c r="C75" s="313" t="str">
        <f t="shared" si="5"/>
        <v/>
      </c>
      <c r="D75" s="313" t="str">
        <f>IF(OR(E75=0,E75=""),"",COUNTIF($E$7:E75,E75)&amp;E75)</f>
        <v/>
      </c>
      <c r="E75" s="313" t="str">
        <f t="shared" si="6"/>
        <v/>
      </c>
      <c r="G75" s="318"/>
      <c r="H75" s="315"/>
      <c r="I75" s="313"/>
      <c r="J75" s="313"/>
      <c r="K75" s="322" t="str">
        <f t="shared" si="4"/>
        <v/>
      </c>
      <c r="L75" s="124"/>
      <c r="M75" s="124"/>
    </row>
    <row r="76" spans="2:13" x14ac:dyDescent="0.3">
      <c r="B76" s="313">
        <f>IF(C76&lt;&gt;"","",J76)</f>
        <v>0</v>
      </c>
      <c r="C76" s="313" t="str">
        <f t="shared" si="5"/>
        <v/>
      </c>
      <c r="D76" s="313" t="str">
        <f>IF(OR(E76=0,E76=""),"",COUNTIF($E$7:E76,E76)&amp;E76)</f>
        <v/>
      </c>
      <c r="E76" s="313" t="str">
        <f t="shared" si="6"/>
        <v/>
      </c>
      <c r="G76" s="318"/>
      <c r="H76" s="315"/>
      <c r="I76" s="313"/>
      <c r="J76" s="313"/>
      <c r="K76" s="322" t="str">
        <f t="shared" si="4"/>
        <v/>
      </c>
      <c r="L76" s="124"/>
      <c r="M76" s="124"/>
    </row>
    <row r="77" spans="2:13" x14ac:dyDescent="0.3">
      <c r="B77" s="313">
        <f>IF(C77&lt;&gt;"","",J77)</f>
        <v>0</v>
      </c>
      <c r="C77" s="313" t="str">
        <f t="shared" si="5"/>
        <v/>
      </c>
      <c r="D77" s="313" t="str">
        <f>IF(OR(E77=0,E77=""),"",COUNTIF($E$7:E77,E77)&amp;E77)</f>
        <v/>
      </c>
      <c r="E77" s="313" t="str">
        <f t="shared" si="6"/>
        <v/>
      </c>
      <c r="G77" s="318"/>
      <c r="H77" s="315"/>
      <c r="I77" s="313"/>
      <c r="J77" s="313"/>
      <c r="K77" s="322" t="str">
        <f t="shared" si="4"/>
        <v/>
      </c>
      <c r="L77" s="124"/>
      <c r="M77" s="124"/>
    </row>
    <row r="78" spans="2:13" x14ac:dyDescent="0.3">
      <c r="B78" s="313">
        <f>IF(C78&lt;&gt;"","",J78)</f>
        <v>0</v>
      </c>
      <c r="C78" s="313" t="str">
        <f t="shared" si="5"/>
        <v/>
      </c>
      <c r="D78" s="313" t="str">
        <f>IF(OR(E78=0,E78=""),"",COUNTIF($E$7:E78,E78)&amp;E78)</f>
        <v/>
      </c>
      <c r="E78" s="313" t="str">
        <f t="shared" si="6"/>
        <v/>
      </c>
      <c r="G78" s="318"/>
      <c r="H78" s="315"/>
      <c r="I78" s="313"/>
      <c r="J78" s="313"/>
      <c r="K78" s="322" t="str">
        <f t="shared" si="4"/>
        <v/>
      </c>
      <c r="L78" s="124"/>
      <c r="M78" s="124"/>
    </row>
    <row r="79" spans="2:13" x14ac:dyDescent="0.3">
      <c r="B79" s="313">
        <f>IF(C79&lt;&gt;"","",J79)</f>
        <v>0</v>
      </c>
      <c r="C79" s="313" t="str">
        <f t="shared" si="5"/>
        <v/>
      </c>
      <c r="D79" s="313" t="str">
        <f>IF(OR(E79=0,E79=""),"",COUNTIF($E$7:E79,E79)&amp;E79)</f>
        <v/>
      </c>
      <c r="E79" s="313" t="str">
        <f t="shared" si="6"/>
        <v/>
      </c>
      <c r="G79" s="318"/>
      <c r="H79" s="315"/>
      <c r="I79" s="313"/>
      <c r="J79" s="313"/>
      <c r="K79" s="322" t="str">
        <f t="shared" si="4"/>
        <v/>
      </c>
      <c r="L79" s="124"/>
      <c r="M79" s="124"/>
    </row>
    <row r="80" spans="2:13" x14ac:dyDescent="0.3">
      <c r="B80" s="313">
        <f>IF(C80&lt;&gt;"","",J80)</f>
        <v>0</v>
      </c>
      <c r="C80" s="313" t="str">
        <f t="shared" si="5"/>
        <v/>
      </c>
      <c r="D80" s="313" t="str">
        <f>IF(OR(E80=0,E80=""),"",COUNTIF($E$7:E80,E80)&amp;E80)</f>
        <v/>
      </c>
      <c r="E80" s="313" t="str">
        <f t="shared" si="6"/>
        <v/>
      </c>
      <c r="G80" s="318"/>
      <c r="H80" s="315"/>
      <c r="I80" s="313"/>
      <c r="J80" s="313"/>
      <c r="K80" s="322" t="str">
        <f t="shared" si="4"/>
        <v/>
      </c>
      <c r="L80" s="124"/>
      <c r="M80" s="124"/>
    </row>
    <row r="81" spans="2:15" x14ac:dyDescent="0.3">
      <c r="B81" s="313">
        <f>IF(C81&lt;&gt;"","",J81)</f>
        <v>0</v>
      </c>
      <c r="C81" s="313" t="str">
        <f t="shared" si="5"/>
        <v/>
      </c>
      <c r="D81" s="313" t="str">
        <f>IF(OR(E81=0,E81=""),"",COUNTIF($E$7:E81,E81)&amp;E81)</f>
        <v/>
      </c>
      <c r="E81" s="313" t="str">
        <f t="shared" si="6"/>
        <v/>
      </c>
      <c r="G81" s="318"/>
      <c r="H81" s="315"/>
      <c r="I81" s="313"/>
      <c r="J81" s="313"/>
      <c r="K81" s="322" t="str">
        <f t="shared" si="4"/>
        <v/>
      </c>
      <c r="L81" s="124"/>
      <c r="M81" s="124"/>
    </row>
    <row r="82" spans="2:15" x14ac:dyDescent="0.3">
      <c r="B82" s="313">
        <f>IF(C82&lt;&gt;"","",J82)</f>
        <v>0</v>
      </c>
      <c r="C82" s="313" t="str">
        <f t="shared" si="5"/>
        <v/>
      </c>
      <c r="D82" s="313" t="str">
        <f>IF(OR(E82=0,E82=""),"",COUNTIF($E$7:E82,E82)&amp;E82)</f>
        <v/>
      </c>
      <c r="E82" s="313" t="str">
        <f t="shared" si="6"/>
        <v/>
      </c>
      <c r="G82" s="318"/>
      <c r="H82" s="315"/>
      <c r="I82" s="313"/>
      <c r="J82" s="313"/>
      <c r="K82" s="322" t="str">
        <f t="shared" si="4"/>
        <v/>
      </c>
      <c r="L82" s="124"/>
      <c r="M82" s="124"/>
    </row>
    <row r="83" spans="2:15" x14ac:dyDescent="0.3">
      <c r="B83" s="313">
        <f>IF(C83&lt;&gt;"","",J83)</f>
        <v>0</v>
      </c>
      <c r="C83" s="313" t="str">
        <f t="shared" si="5"/>
        <v/>
      </c>
      <c r="D83" s="313" t="str">
        <f>IF(OR(E83=0,E83=""),"",COUNTIF($E$7:E83,E83)&amp;E83)</f>
        <v/>
      </c>
      <c r="E83" s="313" t="str">
        <f t="shared" si="6"/>
        <v/>
      </c>
      <c r="G83" s="318"/>
      <c r="H83" s="315"/>
      <c r="I83" s="313"/>
      <c r="J83" s="313"/>
      <c r="K83" s="322" t="str">
        <f t="shared" si="4"/>
        <v/>
      </c>
      <c r="L83" s="124"/>
      <c r="M83" s="124"/>
    </row>
    <row r="84" spans="2:15" x14ac:dyDescent="0.3">
      <c r="B84" s="313">
        <f>IF(C84&lt;&gt;"","",J84)</f>
        <v>0</v>
      </c>
      <c r="C84" s="313" t="str">
        <f t="shared" si="5"/>
        <v/>
      </c>
      <c r="D84" s="313" t="str">
        <f>IF(OR(E84=0,E84=""),"",COUNTIF($E$7:E84,E84)&amp;E84)</f>
        <v/>
      </c>
      <c r="E84" s="313" t="str">
        <f t="shared" si="6"/>
        <v/>
      </c>
      <c r="G84" s="318"/>
      <c r="H84" s="315"/>
      <c r="I84" s="313"/>
      <c r="J84" s="313"/>
      <c r="K84" s="322" t="str">
        <f t="shared" si="4"/>
        <v/>
      </c>
      <c r="L84" s="124"/>
      <c r="M84" s="124"/>
    </row>
    <row r="85" spans="2:15" x14ac:dyDescent="0.3">
      <c r="B85" s="313">
        <f>IF(C85&lt;&gt;"","",J85)</f>
        <v>0</v>
      </c>
      <c r="C85" s="313" t="str">
        <f t="shared" si="5"/>
        <v/>
      </c>
      <c r="D85" s="313" t="str">
        <f>IF(OR(E85=0,E85=""),"",COUNTIF($E$7:E85,E85)&amp;E85)</f>
        <v/>
      </c>
      <c r="E85" s="313" t="str">
        <f t="shared" si="6"/>
        <v/>
      </c>
      <c r="G85" s="318"/>
      <c r="H85" s="315"/>
      <c r="I85" s="313"/>
      <c r="J85" s="313"/>
      <c r="K85" s="322" t="str">
        <f t="shared" si="4"/>
        <v/>
      </c>
      <c r="L85" s="124"/>
      <c r="M85" s="124"/>
    </row>
    <row r="86" spans="2:15" x14ac:dyDescent="0.3">
      <c r="B86" s="313">
        <f>IF(C86&lt;&gt;"","",J86)</f>
        <v>0</v>
      </c>
      <c r="C86" s="313" t="str">
        <f t="shared" si="5"/>
        <v/>
      </c>
      <c r="D86" s="313" t="str">
        <f>IF(OR(E86=0,E86=""),"",COUNTIF($E$7:E86,E86)&amp;E86)</f>
        <v/>
      </c>
      <c r="E86" s="313" t="str">
        <f t="shared" si="6"/>
        <v/>
      </c>
      <c r="G86" s="318"/>
      <c r="H86" s="315"/>
      <c r="I86" s="313"/>
      <c r="J86" s="313"/>
      <c r="K86" s="322" t="str">
        <f t="shared" si="4"/>
        <v/>
      </c>
      <c r="L86" s="124"/>
      <c r="M86" s="124"/>
    </row>
    <row r="87" spans="2:15" x14ac:dyDescent="0.3">
      <c r="B87" s="313">
        <f>IF(C87&lt;&gt;"","",J87)</f>
        <v>0</v>
      </c>
      <c r="C87" s="313" t="str">
        <f t="shared" si="5"/>
        <v/>
      </c>
      <c r="D87" s="313" t="str">
        <f>IF(OR(E87=0,E87=""),"",COUNTIF($E$7:E87,E87)&amp;E87)</f>
        <v/>
      </c>
      <c r="E87" s="313" t="str">
        <f t="shared" si="6"/>
        <v/>
      </c>
      <c r="G87" s="318"/>
      <c r="H87" s="315"/>
      <c r="I87" s="313"/>
      <c r="J87" s="313"/>
      <c r="K87" s="322" t="str">
        <f t="shared" si="4"/>
        <v/>
      </c>
      <c r="L87" s="124"/>
      <c r="M87" s="124"/>
    </row>
    <row r="88" spans="2:15" x14ac:dyDescent="0.3">
      <c r="B88" s="313">
        <f>IF(C88&lt;&gt;"","",J88)</f>
        <v>0</v>
      </c>
      <c r="C88" s="313" t="str">
        <f t="shared" si="5"/>
        <v/>
      </c>
      <c r="D88" s="313" t="str">
        <f>IF(OR(E88=0,E88=""),"",COUNTIF($E$7:E88,E88)&amp;E88)</f>
        <v/>
      </c>
      <c r="E88" s="313" t="str">
        <f t="shared" si="6"/>
        <v/>
      </c>
      <c r="G88" s="318"/>
      <c r="H88" s="315"/>
      <c r="I88" s="313"/>
      <c r="J88" s="313"/>
      <c r="K88" s="322" t="str">
        <f t="shared" si="4"/>
        <v/>
      </c>
      <c r="L88" s="124"/>
      <c r="M88" s="124"/>
    </row>
    <row r="89" spans="2:15" x14ac:dyDescent="0.3">
      <c r="B89" s="313">
        <f>IF(C89&lt;&gt;"","",J89)</f>
        <v>0</v>
      </c>
      <c r="C89" s="313" t="str">
        <f t="shared" si="5"/>
        <v/>
      </c>
      <c r="D89" s="313" t="str">
        <f>IF(OR(E89=0,E89=""),"",COUNTIF($E$7:E89,E89)&amp;E89)</f>
        <v/>
      </c>
      <c r="E89" s="313" t="str">
        <f t="shared" si="6"/>
        <v/>
      </c>
      <c r="G89" s="318"/>
      <c r="H89" s="315"/>
      <c r="I89" s="313"/>
      <c r="J89" s="313"/>
      <c r="K89" s="322" t="str">
        <f t="shared" si="4"/>
        <v/>
      </c>
      <c r="L89" s="124"/>
      <c r="M89" s="124"/>
    </row>
    <row r="90" spans="2:15" x14ac:dyDescent="0.3">
      <c r="B90" s="313">
        <f>IF(C90&lt;&gt;"","",J90)</f>
        <v>0</v>
      </c>
      <c r="C90" s="313" t="str">
        <f t="shared" si="5"/>
        <v/>
      </c>
      <c r="D90" s="313" t="str">
        <f>IF(OR(E90=0,E90=""),"",COUNTIF($E$7:E90,E90)&amp;E90)</f>
        <v/>
      </c>
      <c r="E90" s="313" t="str">
        <f t="shared" si="6"/>
        <v/>
      </c>
      <c r="G90" s="318"/>
      <c r="H90" s="315"/>
      <c r="I90" s="313"/>
      <c r="J90" s="313"/>
      <c r="K90" s="322" t="str">
        <f t="shared" si="4"/>
        <v/>
      </c>
      <c r="L90" s="124"/>
      <c r="M90" s="124"/>
    </row>
    <row r="91" spans="2:15" x14ac:dyDescent="0.3">
      <c r="B91" s="313">
        <f>IF(C91&lt;&gt;"","",J91)</f>
        <v>0</v>
      </c>
      <c r="C91" s="313" t="str">
        <f t="shared" si="5"/>
        <v/>
      </c>
      <c r="D91" s="313" t="str">
        <f>IF(OR(E91=0,E91=""),"",COUNTIF($E$7:E91,E91)&amp;E91)</f>
        <v/>
      </c>
      <c r="E91" s="313" t="str">
        <f t="shared" si="6"/>
        <v/>
      </c>
      <c r="G91" s="318"/>
      <c r="H91" s="315"/>
      <c r="I91" s="313"/>
      <c r="J91" s="313"/>
      <c r="K91" s="322" t="str">
        <f t="shared" si="4"/>
        <v/>
      </c>
      <c r="L91" s="124"/>
      <c r="M91" s="124"/>
    </row>
    <row r="92" spans="2:15" x14ac:dyDescent="0.3">
      <c r="B92" s="313">
        <f>IF(C92&lt;&gt;"","",J92)</f>
        <v>0</v>
      </c>
      <c r="C92" s="313" t="str">
        <f t="shared" si="5"/>
        <v/>
      </c>
      <c r="D92" s="313" t="str">
        <f>IF(OR(E92=0,E92=""),"",COUNTIF($E$7:E92,E92)&amp;E92)</f>
        <v/>
      </c>
      <c r="E92" s="313" t="str">
        <f t="shared" si="6"/>
        <v/>
      </c>
      <c r="G92" s="318"/>
      <c r="H92" s="315"/>
      <c r="I92" s="313"/>
      <c r="J92" s="313"/>
      <c r="K92" s="322" t="str">
        <f t="shared" si="4"/>
        <v/>
      </c>
      <c r="L92" s="124"/>
      <c r="M92" s="124"/>
    </row>
    <row r="93" spans="2:15" x14ac:dyDescent="0.3">
      <c r="B93" s="313">
        <f>IF(C93&lt;&gt;"","",J93)</f>
        <v>0</v>
      </c>
      <c r="C93" s="313" t="str">
        <f t="shared" si="5"/>
        <v/>
      </c>
      <c r="D93" s="313" t="str">
        <f>IF(OR(E93=0,E93=""),"",COUNTIF($E$7:E93,E93)&amp;E93)</f>
        <v/>
      </c>
      <c r="E93" s="313" t="str">
        <f t="shared" si="6"/>
        <v/>
      </c>
      <c r="G93" s="318"/>
      <c r="H93" s="315"/>
      <c r="I93" s="313"/>
      <c r="J93" s="313"/>
      <c r="K93" s="322" t="str">
        <f t="shared" si="4"/>
        <v/>
      </c>
      <c r="L93" s="124"/>
      <c r="M93" s="124"/>
    </row>
    <row r="94" spans="2:15" x14ac:dyDescent="0.3">
      <c r="B94" s="313">
        <f>IF(C94&lt;&gt;"","",J94)</f>
        <v>0</v>
      </c>
      <c r="C94" s="313" t="str">
        <f t="shared" si="5"/>
        <v/>
      </c>
      <c r="D94" s="313" t="str">
        <f>IF(OR(E94=0,E94=""),"",COUNTIF($E$7:E94,E94)&amp;E94)</f>
        <v/>
      </c>
      <c r="E94" s="313" t="str">
        <f t="shared" si="6"/>
        <v/>
      </c>
      <c r="G94" s="318"/>
      <c r="H94" s="315"/>
      <c r="I94" s="313"/>
      <c r="J94" s="313"/>
      <c r="K94" s="322" t="str">
        <f t="shared" si="4"/>
        <v/>
      </c>
      <c r="L94" s="124"/>
      <c r="M94" s="124"/>
    </row>
    <row r="95" spans="2:15" x14ac:dyDescent="0.3">
      <c r="B95" s="313">
        <f>IF(C95&lt;&gt;"","",J95)</f>
        <v>0</v>
      </c>
      <c r="C95" s="313" t="str">
        <f>IF(LEFT(H95,3)="AP-",J95,"")</f>
        <v/>
      </c>
      <c r="D95" s="313" t="str">
        <f>IF(OR(E95=0,E95=""),"",COUNTIF($E$7:E95,E95)&amp;E95)</f>
        <v/>
      </c>
      <c r="E95" s="313" t="str">
        <f>IF(J95=filter,J95,"")</f>
        <v/>
      </c>
      <c r="G95" s="318"/>
      <c r="H95" s="315"/>
      <c r="I95" s="313"/>
      <c r="J95" s="313"/>
      <c r="K95" s="322" t="str">
        <f>IF(L95=M95,"Balance","Not Balance")</f>
        <v>Balance</v>
      </c>
      <c r="L95" s="124">
        <f>SUM(L7:L94)</f>
        <v>30000</v>
      </c>
      <c r="M95" s="124">
        <f>SUM(M7:M94)</f>
        <v>30000</v>
      </c>
    </row>
    <row r="96" spans="2:15" x14ac:dyDescent="0.3">
      <c r="G96" s="323"/>
      <c r="H96" s="324"/>
      <c r="N96" s="95"/>
      <c r="O96" s="95"/>
    </row>
    <row r="100" spans="12:13" x14ac:dyDescent="0.3">
      <c r="L100" s="325"/>
      <c r="M100" s="325"/>
    </row>
  </sheetData>
  <mergeCells count="4">
    <mergeCell ref="G2:M2"/>
    <mergeCell ref="G3:M3"/>
    <mergeCell ref="G4:M4"/>
    <mergeCell ref="G5:M5"/>
  </mergeCells>
  <phoneticPr fontId="3" type="noConversion"/>
  <dataValidations disablePrompts="1" count="1">
    <dataValidation type="list" allowBlank="1" showInputMessage="1" showErrorMessage="1" sqref="J7:J96" xr:uid="{F2CCE001-9C2E-4734-BC97-06924DE0408E}">
      <formula1>kode</formula1>
    </dataValidation>
  </dataValidation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D21B-8BEF-411E-BEA5-D4BF626193BD}">
  <dimension ref="B1:M39"/>
  <sheetViews>
    <sheetView zoomScale="107" zoomScaleNormal="107" workbookViewId="0">
      <selection activeCell="E9" sqref="E9"/>
    </sheetView>
  </sheetViews>
  <sheetFormatPr defaultRowHeight="14.4" x14ac:dyDescent="0.3"/>
  <cols>
    <col min="1" max="1" width="2.21875" customWidth="1"/>
    <col min="2" max="2" width="9.44140625" customWidth="1"/>
    <col min="3" max="3" width="1.5546875" customWidth="1"/>
    <col min="5" max="5" width="11" style="3" customWidth="1"/>
    <col min="6" max="6" width="7.88671875" customWidth="1"/>
    <col min="7" max="7" width="42.5546875" customWidth="1"/>
    <col min="8" max="8" width="15.6640625" customWidth="1"/>
    <col min="9" max="9" width="16.44140625" customWidth="1"/>
    <col min="10" max="10" width="21.44140625" customWidth="1"/>
    <col min="11" max="11" width="10.88671875" customWidth="1"/>
    <col min="12" max="13" width="13.88671875" bestFit="1" customWidth="1"/>
  </cols>
  <sheetData>
    <row r="1" spans="2:13" ht="15" thickBot="1" x14ac:dyDescent="0.35"/>
    <row r="2" spans="2:13" x14ac:dyDescent="0.3">
      <c r="D2" s="216" t="str">
        <f>'Jurnal Umum (3)'!G2</f>
        <v>CV Max Picture</v>
      </c>
      <c r="E2" s="217"/>
      <c r="F2" s="217"/>
      <c r="G2" s="217"/>
      <c r="H2" s="228"/>
      <c r="I2" s="33" t="s">
        <v>23</v>
      </c>
      <c r="J2" s="34">
        <v>50006</v>
      </c>
    </row>
    <row r="3" spans="2:13" x14ac:dyDescent="0.3">
      <c r="D3" s="219" t="s">
        <v>19</v>
      </c>
      <c r="E3" s="220"/>
      <c r="F3" s="220"/>
      <c r="G3" s="220"/>
      <c r="H3" s="229"/>
      <c r="I3" s="1" t="s">
        <v>3</v>
      </c>
      <c r="J3" s="28" t="str">
        <f>VLOOKUP(filter,daftarakun,4,0)</f>
        <v>Db</v>
      </c>
    </row>
    <row r="4" spans="2:13" x14ac:dyDescent="0.3">
      <c r="D4" s="219" t="str">
        <f>IF(filter="","Pilih Akun!",VLOOKUP(filter,daftarakun,2,0))</f>
        <v>Beban Perlengkapan Kantor</v>
      </c>
      <c r="E4" s="220"/>
      <c r="F4" s="220"/>
      <c r="G4" s="220"/>
      <c r="H4" s="229"/>
      <c r="I4" s="231" t="s">
        <v>22</v>
      </c>
      <c r="J4" s="221"/>
    </row>
    <row r="5" spans="2:13" ht="15" thickBot="1" x14ac:dyDescent="0.35">
      <c r="D5" s="222" t="s">
        <v>167</v>
      </c>
      <c r="E5" s="223"/>
      <c r="F5" s="223"/>
      <c r="G5" s="223"/>
      <c r="H5" s="230"/>
      <c r="I5" s="37">
        <f>VLOOKUP(filter,daftarakun,5,0)</f>
        <v>0</v>
      </c>
      <c r="J5" s="38">
        <f>VLOOKUP(filter,daftarakun,6,0)</f>
        <v>0</v>
      </c>
    </row>
    <row r="6" spans="2:13" ht="15" customHeight="1" thickBot="1" x14ac:dyDescent="0.35">
      <c r="D6" s="225">
        <f>'Trial Balance Ledger (5)'!C5</f>
        <v>0</v>
      </c>
      <c r="E6" s="226"/>
      <c r="F6" s="226"/>
      <c r="G6" s="226"/>
      <c r="H6" s="226"/>
      <c r="I6" s="226"/>
      <c r="J6" s="227"/>
    </row>
    <row r="7" spans="2:13" x14ac:dyDescent="0.3">
      <c r="B7" t="s">
        <v>25</v>
      </c>
      <c r="D7" s="32" t="s">
        <v>20</v>
      </c>
      <c r="E7" s="40" t="s">
        <v>11</v>
      </c>
      <c r="F7" s="33" t="s">
        <v>12</v>
      </c>
      <c r="G7" s="33" t="s">
        <v>13</v>
      </c>
      <c r="H7" s="33" t="s">
        <v>14</v>
      </c>
      <c r="I7" s="33" t="s">
        <v>5</v>
      </c>
      <c r="J7" s="34" t="s">
        <v>21</v>
      </c>
    </row>
    <row r="8" spans="2:13" x14ac:dyDescent="0.3">
      <c r="B8">
        <v>1</v>
      </c>
      <c r="D8" s="29"/>
      <c r="E8" s="2"/>
      <c r="F8" s="1"/>
      <c r="G8" s="1" t="s">
        <v>22</v>
      </c>
      <c r="H8" s="177"/>
      <c r="I8" s="177"/>
      <c r="J8" s="178"/>
    </row>
    <row r="9" spans="2:13" x14ac:dyDescent="0.3">
      <c r="B9">
        <f>IF(J9="",0,1)</f>
        <v>1</v>
      </c>
      <c r="D9" s="29">
        <v>1</v>
      </c>
      <c r="E9" s="4">
        <f>IFERROR(IF(filter="","",VLOOKUP(D9&amp;filter,'Jurnal Umum (3)'!$D:$M,4,0)),"")</f>
        <v>0</v>
      </c>
      <c r="F9" s="1" t="str">
        <f>IF(E9="","",VLOOKUP(D9&amp;filter,'Jurnal Umum (3)'!$D:$M,5,0))</f>
        <v>AP-1</v>
      </c>
      <c r="G9" s="1" t="str">
        <f>IF(E9="","",VLOOKUP(D9&amp;filter,'Jurnal Umum (3)'!$D:$M,6,0))</f>
        <v xml:space="preserve">Penyusutan Lem </v>
      </c>
      <c r="H9" s="124">
        <f>IF(E9="",0,VLOOKUP(D9&amp;filter,'Jurnal Umum (3)'!$D:$M,9,0))</f>
        <v>10000</v>
      </c>
      <c r="I9" s="124">
        <f>IF(E9="","",VLOOKUP(D9&amp;filter,'Jurnal Umum (3)'!$D:$M,10,0))</f>
        <v>0</v>
      </c>
      <c r="J9" s="125">
        <f t="shared" ref="J9:J12" si="0">IFERROR(IF($J$3="Db",J8+H9-I9,J8+I9-H9),"")</f>
        <v>10000</v>
      </c>
    </row>
    <row r="10" spans="2:13" x14ac:dyDescent="0.3">
      <c r="B10">
        <f t="shared" ref="B10:B38" si="1">IF(J10="",0,1)</f>
        <v>0</v>
      </c>
      <c r="D10" s="29">
        <v>2</v>
      </c>
      <c r="E10" s="4" t="str">
        <f>IFERROR(IF(filter="","",VLOOKUP(D10&amp;filter,'Jurnal Umum (3)'!$D:$M,4,0)),"")</f>
        <v/>
      </c>
      <c r="F10" s="1" t="str">
        <f>IF(E10="","",VLOOKUP(D10&amp;filter,'Jurnal Umum (3)'!$D:$M,5,0))</f>
        <v/>
      </c>
      <c r="G10" s="1" t="str">
        <f>IF(E10="","",VLOOKUP(D10&amp;filter,'Jurnal Umum (3)'!$D:$M,6,0))</f>
        <v/>
      </c>
      <c r="H10" s="124">
        <f>IF(E10="",0,VLOOKUP(D10&amp;filter,'Jurnal Umum (3)'!$D:$M,9,0))</f>
        <v>0</v>
      </c>
      <c r="I10" s="124" t="str">
        <f>IF(E10="","",VLOOKUP(D10&amp;filter,'Jurnal Umum (3)'!$D:$M,10,0))</f>
        <v/>
      </c>
      <c r="J10" s="125" t="str">
        <f t="shared" si="0"/>
        <v/>
      </c>
      <c r="L10" s="60"/>
    </row>
    <row r="11" spans="2:13" x14ac:dyDescent="0.3">
      <c r="B11">
        <f t="shared" si="1"/>
        <v>0</v>
      </c>
      <c r="D11" s="29">
        <v>3</v>
      </c>
      <c r="E11" s="4" t="str">
        <f>IFERROR(IF(filter="","",VLOOKUP(D11&amp;filter,'Jurnal Umum (3)'!$D:$M,4,0)),"")</f>
        <v/>
      </c>
      <c r="F11" s="1" t="str">
        <f>IF(E11="","",VLOOKUP(D11&amp;filter,'Jurnal Umum (3)'!$D:$M,5,0))</f>
        <v/>
      </c>
      <c r="G11" s="1" t="str">
        <f>IF(E11="","",VLOOKUP(D11&amp;filter,'Jurnal Umum (3)'!$D:$M,6,0))</f>
        <v/>
      </c>
      <c r="H11" s="124">
        <f>IF(E11="",0,VLOOKUP(D11&amp;filter,'Jurnal Umum (3)'!$D:$M,9,0))</f>
        <v>0</v>
      </c>
      <c r="I11" s="124" t="str">
        <f>IF(E11="","",VLOOKUP(D11&amp;filter,'Jurnal Umum (3)'!$D:$M,10,0))</f>
        <v/>
      </c>
      <c r="J11" s="125" t="str">
        <f t="shared" si="0"/>
        <v/>
      </c>
      <c r="L11" s="60"/>
      <c r="M11" s="60"/>
    </row>
    <row r="12" spans="2:13" x14ac:dyDescent="0.3">
      <c r="B12">
        <f t="shared" si="1"/>
        <v>0</v>
      </c>
      <c r="D12" s="29">
        <v>4</v>
      </c>
      <c r="E12" s="4" t="str">
        <f>IFERROR(IF(filter="","",VLOOKUP(D12&amp;filter,'Jurnal Umum (3)'!$D:$M,4,0)),"")</f>
        <v/>
      </c>
      <c r="F12" s="1" t="str">
        <f>IF(E12="","",VLOOKUP(D12&amp;filter,'Jurnal Umum (3)'!$D:$M,5,0))</f>
        <v/>
      </c>
      <c r="G12" s="1" t="str">
        <f>IF(E12="","",VLOOKUP(D12&amp;filter,'Jurnal Umum (3)'!$D:$M,6,0))</f>
        <v/>
      </c>
      <c r="H12" s="124">
        <f>IF(E12="",0,VLOOKUP(D12&amp;filter,'Jurnal Umum (3)'!$D:$M,9,0))</f>
        <v>0</v>
      </c>
      <c r="I12" s="124" t="str">
        <f>IF(E12="","",VLOOKUP(D12&amp;filter,'Jurnal Umum (3)'!$D:$M,10,0))</f>
        <v/>
      </c>
      <c r="J12" s="125" t="str">
        <f t="shared" si="0"/>
        <v/>
      </c>
      <c r="L12" s="60"/>
    </row>
    <row r="13" spans="2:13" x14ac:dyDescent="0.3">
      <c r="B13">
        <f t="shared" si="1"/>
        <v>0</v>
      </c>
      <c r="D13" s="29">
        <v>5</v>
      </c>
      <c r="E13" s="4" t="str">
        <f>IFERROR(IF(filter="","",VLOOKUP(D13&amp;filter,'Jurnal Umum (3)'!$D:$M,4,0)),"")</f>
        <v/>
      </c>
      <c r="F13" s="1" t="str">
        <f>IF(E13="","",VLOOKUP(D13&amp;filter,'Jurnal Umum (3)'!$D:$M,5,0))</f>
        <v/>
      </c>
      <c r="G13" s="1" t="str">
        <f>IF(E13="","",VLOOKUP(D13&amp;filter,'Jurnal Umum (3)'!$D:$M,6,0))</f>
        <v/>
      </c>
      <c r="H13" s="124">
        <f>IF(E13="",0,VLOOKUP(D13&amp;filter,'Jurnal Umum (3)'!$D:$M,9,0))</f>
        <v>0</v>
      </c>
      <c r="I13" s="124" t="str">
        <f>IF(E13="","",VLOOKUP(D13&amp;filter,'Jurnal Umum (3)'!$D:$M,10,0))</f>
        <v/>
      </c>
      <c r="J13" s="125" t="str">
        <f t="shared" ref="J10:J14" si="2">IFERROR(IF($J$3="Db",J12+H13-I13,J12+I13-H13),"")</f>
        <v/>
      </c>
    </row>
    <row r="14" spans="2:13" x14ac:dyDescent="0.3">
      <c r="B14">
        <f t="shared" si="1"/>
        <v>0</v>
      </c>
      <c r="D14" s="29">
        <v>6</v>
      </c>
      <c r="E14" s="4" t="str">
        <f>IFERROR(IF(filter="","",VLOOKUP(D14&amp;filter,'Jurnal Umum (3)'!$D:$M,4,0)),"")</f>
        <v/>
      </c>
      <c r="F14" s="1" t="str">
        <f>IF(E14="","",VLOOKUP(D14&amp;filter,'Jurnal Umum (3)'!$D:$M,5,0))</f>
        <v/>
      </c>
      <c r="G14" s="1" t="str">
        <f>IF(E14="","",VLOOKUP(D14&amp;filter,'Jurnal Umum (3)'!$D:$M,6,0))</f>
        <v/>
      </c>
      <c r="H14" s="124">
        <f>IF(E14="",0,VLOOKUP(D14&amp;filter,'Jurnal Umum (3)'!$D:$M,9,0))</f>
        <v>0</v>
      </c>
      <c r="I14" s="124" t="str">
        <f>IF(E14="","",VLOOKUP(D14&amp;filter,'Jurnal Umum (3)'!$D:$M,10,0))</f>
        <v/>
      </c>
      <c r="J14" s="125" t="str">
        <f t="shared" si="2"/>
        <v/>
      </c>
    </row>
    <row r="15" spans="2:13" x14ac:dyDescent="0.3">
      <c r="B15">
        <f t="shared" si="1"/>
        <v>0</v>
      </c>
      <c r="D15" s="29">
        <v>7</v>
      </c>
      <c r="E15" s="4" t="str">
        <f>IFERROR(IF(filter="","",VLOOKUP(D15&amp;filter,'Jurnal Umum (3)'!$D:$M,4,0)),"")</f>
        <v/>
      </c>
      <c r="F15" s="1" t="str">
        <f>IF(E15="","",VLOOKUP(D15&amp;filter,'Jurnal Umum (3)'!$D:$M,5,0))</f>
        <v/>
      </c>
      <c r="G15" s="1" t="str">
        <f>IF(E15="","",VLOOKUP(D15&amp;filter,'Jurnal Umum (3)'!$D:$M,6,0))</f>
        <v/>
      </c>
      <c r="H15" s="128">
        <f>IF(E15="",0,VLOOKUP(D15&amp;filter,'Jurnal Umum (3)'!$D:$M,9,0))</f>
        <v>0</v>
      </c>
      <c r="I15" s="128" t="str">
        <f>IF(E15="","",VLOOKUP(D15&amp;filter,'Jurnal Umum (3)'!$D:$M,10,0))</f>
        <v/>
      </c>
      <c r="J15" s="129" t="str">
        <f>IFERROR(IF($J$3="Db",J14+H15-I15,J14+I15-H15),"")</f>
        <v/>
      </c>
    </row>
    <row r="16" spans="2:13" x14ac:dyDescent="0.3">
      <c r="B16">
        <f t="shared" si="1"/>
        <v>0</v>
      </c>
      <c r="D16" s="29">
        <v>8</v>
      </c>
      <c r="E16" s="4" t="str">
        <f>IFERROR(IF(filter="","",VLOOKUP(D16&amp;filter,'Jurnal Umum (3)'!$D:$M,4,0)),"")</f>
        <v/>
      </c>
      <c r="F16" s="1" t="str">
        <f>IF(E16="","",VLOOKUP(D16&amp;filter,'Jurnal Umum (3)'!$D:$M,5,0))</f>
        <v/>
      </c>
      <c r="G16" s="1" t="str">
        <f>IF(E16="","",VLOOKUP(D16&amp;filter,'Jurnal Umum (3)'!$D:$M,6,0))</f>
        <v/>
      </c>
      <c r="H16" s="128">
        <f>IF(E16="",0,VLOOKUP(D16&amp;filter,'Jurnal Umum (3)'!$D:$M,9,0))</f>
        <v>0</v>
      </c>
      <c r="I16" s="128" t="str">
        <f>IF(E16="","",VLOOKUP(D16&amp;filter,'Jurnal Umum (3)'!$D:$M,10,0))</f>
        <v/>
      </c>
      <c r="J16" s="129" t="str">
        <f>IFERROR(IF($J$3="Db",J15+H16-I16,J15+I16-H16),"")</f>
        <v/>
      </c>
    </row>
    <row r="17" spans="2:12" x14ac:dyDescent="0.3">
      <c r="B17">
        <f t="shared" si="1"/>
        <v>0</v>
      </c>
      <c r="D17" s="29">
        <v>9</v>
      </c>
      <c r="E17" s="4" t="str">
        <f>IFERROR(IF(filter="","",VLOOKUP(D17&amp;filter,'Jurnal Umum (3)'!$D:$M,4,0)),"")</f>
        <v/>
      </c>
      <c r="F17" s="1" t="str">
        <f>IF(E17="","",VLOOKUP(D17&amp;filter,'Jurnal Umum (3)'!$D:$M,5,0))</f>
        <v/>
      </c>
      <c r="G17" s="1" t="str">
        <f>IF(E17="","",VLOOKUP(D17&amp;filter,'Jurnal Umum (3)'!$D:$M,6,0))</f>
        <v/>
      </c>
      <c r="H17" s="128">
        <f>IF(E17="",0,VLOOKUP(D17&amp;filter,'Jurnal Umum (3)'!$D:$M,9,0))</f>
        <v>0</v>
      </c>
      <c r="I17" s="128" t="str">
        <f>IF(E17="","",VLOOKUP(D17&amp;filter,'Jurnal Umum (3)'!$D:$M,10,0))</f>
        <v/>
      </c>
      <c r="J17" s="129" t="str">
        <f t="shared" ref="J17:J21" si="3">IFERROR(IF($J$3="Db",J16+H17-I17,J16+I17-H17),"")</f>
        <v/>
      </c>
    </row>
    <row r="18" spans="2:12" x14ac:dyDescent="0.3">
      <c r="B18">
        <f t="shared" si="1"/>
        <v>0</v>
      </c>
      <c r="D18" s="29">
        <v>10</v>
      </c>
      <c r="E18" s="4" t="str">
        <f>IFERROR(IF(filter="","",VLOOKUP(D18&amp;filter,'Jurnal Umum (3)'!$D:$M,4,0)),"")</f>
        <v/>
      </c>
      <c r="F18" s="1" t="str">
        <f>IF(E18="","",VLOOKUP(D18&amp;filter,'Jurnal Umum (3)'!$D:$M,5,0))</f>
        <v/>
      </c>
      <c r="G18" s="1" t="str">
        <f>IF(E18="","",VLOOKUP(D18&amp;filter,'Jurnal Umum (3)'!$D:$M,6,0))</f>
        <v/>
      </c>
      <c r="H18" s="128">
        <f>IF(E18="",0,VLOOKUP(D18&amp;filter,'Jurnal Umum (3)'!$D:$M,9,0))</f>
        <v>0</v>
      </c>
      <c r="I18" s="128" t="str">
        <f>IF(E18="","",VLOOKUP(D18&amp;filter,'Jurnal Umum (3)'!$D:$M,10,0))</f>
        <v/>
      </c>
      <c r="J18" s="129" t="str">
        <f t="shared" si="3"/>
        <v/>
      </c>
    </row>
    <row r="19" spans="2:12" x14ac:dyDescent="0.3">
      <c r="B19">
        <f t="shared" si="1"/>
        <v>0</v>
      </c>
      <c r="D19" s="29">
        <v>11</v>
      </c>
      <c r="E19" s="4" t="str">
        <f>IFERROR(IF(filter="","",VLOOKUP(D19&amp;filter,'Jurnal Umum (3)'!$D:$M,4,0)),"")</f>
        <v/>
      </c>
      <c r="F19" s="1" t="str">
        <f>IF(E19="","",VLOOKUP(D19&amp;filter,'Jurnal Umum (3)'!$D:$M,5,0))</f>
        <v/>
      </c>
      <c r="G19" s="1" t="str">
        <f>IF(E19="","",VLOOKUP(D19&amp;filter,'Jurnal Umum (3)'!$D:$M,6,0))</f>
        <v/>
      </c>
      <c r="H19" s="128">
        <f>IF(E19="",0,VLOOKUP(D19&amp;filter,'Jurnal Umum (3)'!$D:$M,9,0))</f>
        <v>0</v>
      </c>
      <c r="I19" s="128" t="str">
        <f>IF(E19="","",VLOOKUP(D19&amp;filter,'Jurnal Umum (3)'!$D:$M,10,0))</f>
        <v/>
      </c>
      <c r="J19" s="129" t="str">
        <f>IFERROR(IF($J$3="Db",J18+H19-I19,J18+I19-H19),"")</f>
        <v/>
      </c>
    </row>
    <row r="20" spans="2:12" x14ac:dyDescent="0.3">
      <c r="B20">
        <f t="shared" si="1"/>
        <v>0</v>
      </c>
      <c r="D20" s="29">
        <v>12</v>
      </c>
      <c r="E20" s="4" t="str">
        <f>IFERROR(IF(filter="","",VLOOKUP(D20&amp;filter,'Jurnal Umum (3)'!$D:$M,4,0)),"")</f>
        <v/>
      </c>
      <c r="F20" s="1" t="str">
        <f>IF(E20="","",VLOOKUP(D20&amp;filter,'Jurnal Umum (3)'!$D:$M,5,0))</f>
        <v/>
      </c>
      <c r="G20" s="1" t="str">
        <f>IF(E20="","",VLOOKUP(D20&amp;filter,'Jurnal Umum (3)'!$D:$M,6,0))</f>
        <v/>
      </c>
      <c r="H20" s="128">
        <f>IF(E20="",0,VLOOKUP(D20&amp;filter,'Jurnal Umum (3)'!$D:$M,9,0))</f>
        <v>0</v>
      </c>
      <c r="I20" s="128" t="str">
        <f>IF(E20="","",VLOOKUP(D20&amp;filter,'Jurnal Umum (3)'!$D:$M,10,0))</f>
        <v/>
      </c>
      <c r="J20" s="129" t="str">
        <f t="shared" si="3"/>
        <v/>
      </c>
      <c r="L20" s="60"/>
    </row>
    <row r="21" spans="2:12" x14ac:dyDescent="0.3">
      <c r="B21">
        <f t="shared" si="1"/>
        <v>0</v>
      </c>
      <c r="D21" s="29">
        <v>13</v>
      </c>
      <c r="E21" s="4" t="str">
        <f>IFERROR(IF(filter="","",VLOOKUP(D21&amp;filter,'Jurnal Umum (3)'!$D:$M,4,0)),"")</f>
        <v/>
      </c>
      <c r="F21" s="1" t="str">
        <f>IF(E21="","",VLOOKUP(D21&amp;filter,'Jurnal Umum (3)'!$D:$M,5,0))</f>
        <v/>
      </c>
      <c r="G21" s="1" t="str">
        <f>IF(E21="","",VLOOKUP(D21&amp;filter,'Jurnal Umum (3)'!$D:$M,6,0))</f>
        <v/>
      </c>
      <c r="H21" s="128">
        <f>IF(E21="",0,VLOOKUP(D21&amp;filter,'Jurnal Umum (3)'!$D:$M,9,0))</f>
        <v>0</v>
      </c>
      <c r="I21" s="128" t="str">
        <f>IF(E21="","",VLOOKUP(D21&amp;filter,'Jurnal Umum (3)'!$D:$M,10,0))</f>
        <v/>
      </c>
      <c r="J21" s="129" t="str">
        <f t="shared" si="3"/>
        <v/>
      </c>
    </row>
    <row r="22" spans="2:12" x14ac:dyDescent="0.3">
      <c r="B22">
        <f t="shared" si="1"/>
        <v>0</v>
      </c>
      <c r="D22" s="29">
        <v>14</v>
      </c>
      <c r="E22" s="2" t="str">
        <f>IFERROR(IF(filter="","",VLOOKUP(D22&amp;filter,'Jurnal Umum (3)'!$D:$M,4,0)),"")</f>
        <v/>
      </c>
      <c r="F22" s="1" t="str">
        <f>IF(E22="","",VLOOKUP(D22&amp;filter,'Jurnal Umum (3)'!$D:$M,5,0))</f>
        <v/>
      </c>
      <c r="G22" s="1" t="str">
        <f>IF(E22="","",VLOOKUP(D22&amp;filter,'Jurnal Umum (3)'!$D:$M,6,0))</f>
        <v/>
      </c>
      <c r="H22" s="128">
        <f>IF(E22="",0,VLOOKUP(D22&amp;filter,'Jurnal Umum (3)'!$D:$M,9,0))</f>
        <v>0</v>
      </c>
      <c r="I22" s="128" t="str">
        <f>IF(E22="","",VLOOKUP(D22&amp;filter,'Jurnal Umum (3)'!$D:$M,10,0))</f>
        <v/>
      </c>
      <c r="J22" s="129" t="str">
        <f t="shared" ref="J22:J30" si="4">IFERROR(IF($J$3="Db",J21+H22-I22,J21+I22-H22),"")</f>
        <v/>
      </c>
    </row>
    <row r="23" spans="2:12" x14ac:dyDescent="0.3">
      <c r="B23">
        <f t="shared" si="1"/>
        <v>0</v>
      </c>
      <c r="D23" s="29">
        <v>15</v>
      </c>
      <c r="E23" s="2" t="str">
        <f>IFERROR(IF(filter="","",VLOOKUP(D23&amp;filter,'Jurnal Umum (3)'!$D:$M,4,0)),"")</f>
        <v/>
      </c>
      <c r="F23" s="1" t="str">
        <f>IF(E23="","",VLOOKUP(D23&amp;filter,'Jurnal Umum (3)'!$D:$M,5,0))</f>
        <v/>
      </c>
      <c r="G23" s="1" t="str">
        <f>IF(E23="","",VLOOKUP(D23&amp;filter,'Jurnal Umum (3)'!$D:$M,6,0))</f>
        <v/>
      </c>
      <c r="H23" s="128">
        <f>IF(E23="",0,VLOOKUP(D23&amp;filter,'Jurnal Umum (3)'!$D:$M,9,0))</f>
        <v>0</v>
      </c>
      <c r="I23" s="128" t="str">
        <f>IF(E23="","",VLOOKUP(D23&amp;filter,'Jurnal Umum (3)'!$D:$M,10,0))</f>
        <v/>
      </c>
      <c r="J23" s="129" t="str">
        <f t="shared" si="4"/>
        <v/>
      </c>
    </row>
    <row r="24" spans="2:12" x14ac:dyDescent="0.3">
      <c r="B24">
        <f t="shared" si="1"/>
        <v>0</v>
      </c>
      <c r="D24" s="29">
        <v>16</v>
      </c>
      <c r="E24" s="2" t="str">
        <f>IFERROR(IF(filter="","",VLOOKUP(D24&amp;filter,'Jurnal Umum (3)'!$D:$M,4,0)),"")</f>
        <v/>
      </c>
      <c r="F24" s="1" t="str">
        <f>IF(E24="","",VLOOKUP(D24&amp;filter,'Jurnal Umum (3)'!$D:$M,5,0))</f>
        <v/>
      </c>
      <c r="G24" s="1" t="str">
        <f>IF(E24="","",VLOOKUP(D24&amp;filter,'Jurnal Umum (3)'!$D:$M,6,0))</f>
        <v/>
      </c>
      <c r="H24" s="128">
        <f>IF(E24="",0,VLOOKUP(D24&amp;filter,'Jurnal Umum (3)'!$D:$M,9,0))</f>
        <v>0</v>
      </c>
      <c r="I24" s="128" t="str">
        <f>IF(E24="","",VLOOKUP(D24&amp;filter,'Jurnal Umum (3)'!$D:$M,10,0))</f>
        <v/>
      </c>
      <c r="J24" s="129" t="str">
        <f t="shared" si="4"/>
        <v/>
      </c>
    </row>
    <row r="25" spans="2:12" x14ac:dyDescent="0.3">
      <c r="B25">
        <f t="shared" si="1"/>
        <v>0</v>
      </c>
      <c r="D25" s="29">
        <v>17</v>
      </c>
      <c r="E25" s="2" t="str">
        <f>IFERROR(IF(filter="","",VLOOKUP(D25&amp;filter,'Jurnal Umum (3)'!$D:$M,4,0)),"")</f>
        <v/>
      </c>
      <c r="F25" s="1" t="str">
        <f>IF(E25="","",VLOOKUP(D25&amp;filter,'Jurnal Umum (3)'!$D:$M,5,0))</f>
        <v/>
      </c>
      <c r="G25" s="1" t="str">
        <f>IF(E25="","",VLOOKUP(D25&amp;filter,'Jurnal Umum (3)'!$D:$M,6,0))</f>
        <v/>
      </c>
      <c r="H25" s="128">
        <f>IF(E25="",0,VLOOKUP(D25&amp;filter,'Jurnal Umum (3)'!$D:$M,9,0))</f>
        <v>0</v>
      </c>
      <c r="I25" s="128" t="str">
        <f>IF(E25="","",VLOOKUP(D25&amp;filter,'Jurnal Umum (3)'!$D:$M,10,0))</f>
        <v/>
      </c>
      <c r="J25" s="129" t="str">
        <f t="shared" si="4"/>
        <v/>
      </c>
    </row>
    <row r="26" spans="2:12" x14ac:dyDescent="0.3">
      <c r="B26">
        <f t="shared" si="1"/>
        <v>0</v>
      </c>
      <c r="D26" s="29">
        <v>18</v>
      </c>
      <c r="E26" s="2" t="str">
        <f>IFERROR(IF(filter="","",VLOOKUP(D26&amp;filter,'Jurnal Umum (3)'!$D:$M,4,0)),"")</f>
        <v/>
      </c>
      <c r="F26" s="1" t="str">
        <f>IF(E26="","",VLOOKUP(D26&amp;filter,'Jurnal Umum (3)'!$D:$M,5,0))</f>
        <v/>
      </c>
      <c r="G26" s="1" t="str">
        <f>IF(E26="","",VLOOKUP(D26&amp;filter,'Jurnal Umum (3)'!$D:$M,6,0))</f>
        <v/>
      </c>
      <c r="H26" s="128">
        <f>IF(E26="",0,VLOOKUP(D26&amp;filter,'Jurnal Umum (3)'!$D:$M,9,0))</f>
        <v>0</v>
      </c>
      <c r="I26" s="128" t="str">
        <f>IF(E26="","",VLOOKUP(D26&amp;filter,'Jurnal Umum (3)'!$D:$M,10,0))</f>
        <v/>
      </c>
      <c r="J26" s="129" t="str">
        <f t="shared" si="4"/>
        <v/>
      </c>
    </row>
    <row r="27" spans="2:12" x14ac:dyDescent="0.3">
      <c r="B27">
        <f t="shared" si="1"/>
        <v>0</v>
      </c>
      <c r="D27" s="29">
        <v>19</v>
      </c>
      <c r="E27" s="2" t="str">
        <f>IFERROR(IF(filter="","",VLOOKUP(D27&amp;filter,'Jurnal Umum (3)'!$D:$M,4,0)),"")</f>
        <v/>
      </c>
      <c r="F27" s="1" t="str">
        <f>IF(E27="","",VLOOKUP(D27&amp;filter,'Jurnal Umum (3)'!$D:$M,5,0))</f>
        <v/>
      </c>
      <c r="G27" s="1" t="str">
        <f>IF(E27="","",VLOOKUP(D27&amp;filter,'Jurnal Umum (3)'!$D:$M,6,0))</f>
        <v/>
      </c>
      <c r="H27" s="128">
        <f>IF(E27="",0,VLOOKUP(D27&amp;filter,'Jurnal Umum (3)'!$D:$M,9,0))</f>
        <v>0</v>
      </c>
      <c r="I27" s="128" t="str">
        <f>IF(E27="","",VLOOKUP(D27&amp;filter,'Jurnal Umum (3)'!$D:$M,10,0))</f>
        <v/>
      </c>
      <c r="J27" s="129" t="str">
        <f t="shared" si="4"/>
        <v/>
      </c>
    </row>
    <row r="28" spans="2:12" x14ac:dyDescent="0.3">
      <c r="B28">
        <f t="shared" si="1"/>
        <v>0</v>
      </c>
      <c r="D28" s="29">
        <v>20</v>
      </c>
      <c r="E28" s="2" t="str">
        <f>IFERROR(IF(filter="","",VLOOKUP(D28&amp;filter,'Jurnal Umum (3)'!$D:$M,4,0)),"")</f>
        <v/>
      </c>
      <c r="F28" s="1" t="str">
        <f>IF(E28="","",VLOOKUP(D28&amp;filter,'Jurnal Umum (3)'!$D:$M,5,0))</f>
        <v/>
      </c>
      <c r="G28" s="1" t="str">
        <f>IF(E28="","",VLOOKUP(D28&amp;filter,'Jurnal Umum (3)'!$D:$M,6,0))</f>
        <v/>
      </c>
      <c r="H28" s="124">
        <f>IF(E28="",0,VLOOKUP(D28&amp;filter,'Jurnal Umum (3)'!$D:$M,9,0))</f>
        <v>0</v>
      </c>
      <c r="I28" s="124" t="str">
        <f>IF(E28="","",VLOOKUP(D28&amp;filter,'Jurnal Umum (3)'!$D:$M,10,0))</f>
        <v/>
      </c>
      <c r="J28" s="125" t="str">
        <f t="shared" si="4"/>
        <v/>
      </c>
    </row>
    <row r="29" spans="2:12" x14ac:dyDescent="0.3">
      <c r="B29">
        <f t="shared" si="1"/>
        <v>0</v>
      </c>
      <c r="D29" s="29">
        <v>21</v>
      </c>
      <c r="E29" s="2" t="str">
        <f>IFERROR(IF(filter="","",VLOOKUP(D29&amp;filter,'Jurnal Umum (3)'!$D:$M,4,0)),"")</f>
        <v/>
      </c>
      <c r="F29" s="1" t="str">
        <f>IF(E29="","",VLOOKUP(D29&amp;filter,'Jurnal Umum (3)'!$D:$M,5,0))</f>
        <v/>
      </c>
      <c r="G29" s="1" t="str">
        <f>IF(E29="","",VLOOKUP(D29&amp;filter,'Jurnal Umum (3)'!$D:$M,6,0))</f>
        <v/>
      </c>
      <c r="H29" s="124">
        <f>IF(E29="",0,VLOOKUP(D29&amp;filter,'Jurnal Umum (3)'!$D:$M,9,0))</f>
        <v>0</v>
      </c>
      <c r="I29" s="124" t="str">
        <f>IF(E29="","",VLOOKUP(D29&amp;filter,'Jurnal Umum (3)'!$D:$M,10,0))</f>
        <v/>
      </c>
      <c r="J29" s="125" t="str">
        <f t="shared" si="4"/>
        <v/>
      </c>
    </row>
    <row r="30" spans="2:12" ht="15" thickBot="1" x14ac:dyDescent="0.35">
      <c r="B30">
        <f t="shared" si="1"/>
        <v>0</v>
      </c>
      <c r="D30" s="35">
        <v>22</v>
      </c>
      <c r="E30" s="39" t="str">
        <f>IFERROR(IF(filter="","",VLOOKUP(D30&amp;filter,'Jurnal Umum (3)'!$D:$M,4,0)),"")</f>
        <v/>
      </c>
      <c r="F30" s="5" t="str">
        <f>IF(E30="","",VLOOKUP(D30&amp;filter,'Jurnal Umum (3)'!$D:$M,5,0))</f>
        <v/>
      </c>
      <c r="G30" s="5" t="str">
        <f>IF(E30="","",VLOOKUP(D30&amp;filter,'Jurnal Umum (3)'!$D:$M,6,0))</f>
        <v/>
      </c>
      <c r="H30" s="126">
        <f>IF(E30="",0,VLOOKUP(D30&amp;filter,'Jurnal Umum (3)'!$D:$M,9,0))</f>
        <v>0</v>
      </c>
      <c r="I30" s="126" t="str">
        <f>IF(E30="","",VLOOKUP(D30&amp;filter,'Jurnal Umum (3)'!$D:$M,10,0))</f>
        <v/>
      </c>
      <c r="J30" s="127" t="str">
        <f t="shared" si="4"/>
        <v/>
      </c>
    </row>
    <row r="31" spans="2:12" ht="15" thickBot="1" x14ac:dyDescent="0.35">
      <c r="B31">
        <f t="shared" si="1"/>
        <v>0</v>
      </c>
      <c r="D31" s="35">
        <v>23</v>
      </c>
      <c r="E31" s="39" t="str">
        <f>IFERROR(IF(filter="","",VLOOKUP(D31&amp;filter,'Jurnal Umum (3)'!$D:$M,4,0)),"")</f>
        <v/>
      </c>
      <c r="F31" s="5" t="str">
        <f>IF(E31="","",VLOOKUP(D31&amp;filter,'Jurnal Umum (3)'!$D:$M,5,0))</f>
        <v/>
      </c>
      <c r="G31" s="5" t="str">
        <f>IF(E31="","",VLOOKUP(D31&amp;filter,'Jurnal Umum (3)'!$D:$M,6,0))</f>
        <v/>
      </c>
      <c r="H31" s="126">
        <f>IF(E31="",0,VLOOKUP(D31&amp;filter,'Jurnal Umum (3)'!$D:$M,9,0))</f>
        <v>0</v>
      </c>
      <c r="I31" s="126" t="str">
        <f>IF(E31="","",VLOOKUP(D31&amp;filter,'Jurnal Umum (3)'!$D:$M,10,0))</f>
        <v/>
      </c>
      <c r="J31" s="127" t="str">
        <f t="shared" ref="J31:J38" si="5">IFERROR(IF($J$3="Db",J30+H31-I31,J30+I31-H31),"")</f>
        <v/>
      </c>
    </row>
    <row r="32" spans="2:12" ht="15" thickBot="1" x14ac:dyDescent="0.35">
      <c r="B32">
        <f t="shared" si="1"/>
        <v>0</v>
      </c>
      <c r="D32" s="35">
        <v>24</v>
      </c>
      <c r="E32" s="39" t="str">
        <f>IFERROR(IF(filter="","",VLOOKUP(D32&amp;filter,'Jurnal Umum (3)'!$D:$M,4,0)),"")</f>
        <v/>
      </c>
      <c r="F32" s="5" t="str">
        <f>IF(E32="","",VLOOKUP(D32&amp;filter,'Jurnal Umum (3)'!$D:$M,5,0))</f>
        <v/>
      </c>
      <c r="G32" s="5" t="str">
        <f>IF(E32="","",VLOOKUP(D32&amp;filter,'Jurnal Umum (3)'!$D:$M,6,0))</f>
        <v/>
      </c>
      <c r="H32" s="126">
        <f>IF(E32="",0,VLOOKUP(D32&amp;filter,'Jurnal Umum (3)'!$D:$M,9,0))</f>
        <v>0</v>
      </c>
      <c r="I32" s="126" t="str">
        <f>IF(E32="","",VLOOKUP(D32&amp;filter,'Jurnal Umum (3)'!$D:$M,10,0))</f>
        <v/>
      </c>
      <c r="J32" s="127" t="str">
        <f t="shared" si="5"/>
        <v/>
      </c>
    </row>
    <row r="33" spans="2:10" ht="15" thickBot="1" x14ac:dyDescent="0.35">
      <c r="B33">
        <f t="shared" si="1"/>
        <v>0</v>
      </c>
      <c r="D33" s="35">
        <v>25</v>
      </c>
      <c r="E33" s="39" t="str">
        <f>IFERROR(IF(filter="","",VLOOKUP(D33&amp;filter,'Jurnal Umum (3)'!$D:$M,4,0)),"")</f>
        <v/>
      </c>
      <c r="F33" s="5" t="str">
        <f>IF(E33="","",VLOOKUP(D33&amp;filter,'Jurnal Umum (3)'!$D:$M,5,0))</f>
        <v/>
      </c>
      <c r="G33" s="5" t="str">
        <f>IF(E33="","",VLOOKUP(D33&amp;filter,'Jurnal Umum (3)'!$D:$M,6,0))</f>
        <v/>
      </c>
      <c r="H33" s="126">
        <f>IF(E33="",0,VLOOKUP(D33&amp;filter,'Jurnal Umum (3)'!$D:$M,9,0))</f>
        <v>0</v>
      </c>
      <c r="I33" s="126" t="str">
        <f>IF(E33="","",VLOOKUP(D33&amp;filter,'Jurnal Umum (3)'!$D:$M,10,0))</f>
        <v/>
      </c>
      <c r="J33" s="127" t="str">
        <f t="shared" si="5"/>
        <v/>
      </c>
    </row>
    <row r="34" spans="2:10" ht="15" thickBot="1" x14ac:dyDescent="0.35">
      <c r="B34">
        <f t="shared" si="1"/>
        <v>0</v>
      </c>
      <c r="D34" s="35">
        <v>26</v>
      </c>
      <c r="E34" s="39" t="str">
        <f>IFERROR(IF(filter="","",VLOOKUP(D34&amp;filter,'Jurnal Umum (3)'!$D:$M,4,0)),"")</f>
        <v/>
      </c>
      <c r="F34" s="5" t="str">
        <f>IF(E34="","",VLOOKUP(D34&amp;filter,'Jurnal Umum (3)'!$D:$M,5,0))</f>
        <v/>
      </c>
      <c r="G34" s="5" t="str">
        <f>IF(E34="","",VLOOKUP(D34&amp;filter,'Jurnal Umum (3)'!$D:$M,6,0))</f>
        <v/>
      </c>
      <c r="H34" s="126">
        <f>IF(E34="",0,VLOOKUP(D34&amp;filter,'Jurnal Umum (3)'!$D:$M,9,0))</f>
        <v>0</v>
      </c>
      <c r="I34" s="126" t="str">
        <f>IF(E34="","",VLOOKUP(D34&amp;filter,'Jurnal Umum (3)'!$D:$M,10,0))</f>
        <v/>
      </c>
      <c r="J34" s="127" t="str">
        <f t="shared" si="5"/>
        <v/>
      </c>
    </row>
    <row r="35" spans="2:10" ht="15" thickBot="1" x14ac:dyDescent="0.35">
      <c r="B35">
        <f t="shared" si="1"/>
        <v>0</v>
      </c>
      <c r="D35" s="35">
        <v>27</v>
      </c>
      <c r="E35" s="39" t="str">
        <f>IFERROR(IF(filter="","",VLOOKUP(D35&amp;filter,'Jurnal Umum (3)'!$D:$M,4,0)),"")</f>
        <v/>
      </c>
      <c r="F35" s="5" t="str">
        <f>IF(E35="","",VLOOKUP(D35&amp;filter,'Jurnal Umum (3)'!$D:$M,5,0))</f>
        <v/>
      </c>
      <c r="G35" s="5" t="str">
        <f>IF(E35="","",VLOOKUP(D35&amp;filter,'Jurnal Umum (3)'!$D:$M,6,0))</f>
        <v/>
      </c>
      <c r="H35" s="126">
        <f>IF(E35="",0,VLOOKUP(D35&amp;filter,'Jurnal Umum (3)'!$D:$M,9,0))</f>
        <v>0</v>
      </c>
      <c r="I35" s="126" t="str">
        <f>IF(E35="","",VLOOKUP(D35&amp;filter,'Jurnal Umum (3)'!$D:$M,10,0))</f>
        <v/>
      </c>
      <c r="J35" s="127" t="str">
        <f t="shared" si="5"/>
        <v/>
      </c>
    </row>
    <row r="36" spans="2:10" ht="15" thickBot="1" x14ac:dyDescent="0.35">
      <c r="B36">
        <f t="shared" si="1"/>
        <v>0</v>
      </c>
      <c r="D36" s="35">
        <v>28</v>
      </c>
      <c r="E36" s="39" t="str">
        <f>IFERROR(IF(filter="","",VLOOKUP(D36&amp;filter,'Jurnal Umum (3)'!$D:$M,4,0)),"")</f>
        <v/>
      </c>
      <c r="F36" s="5" t="str">
        <f>IF(E36="","",VLOOKUP(D36&amp;filter,'Jurnal Umum (3)'!$D:$M,5,0))</f>
        <v/>
      </c>
      <c r="G36" s="5" t="str">
        <f>IF(E36="","",VLOOKUP(D36&amp;filter,'Jurnal Umum (3)'!$D:$M,6,0))</f>
        <v/>
      </c>
      <c r="H36" s="126">
        <f>IF(E36="",0,VLOOKUP(D36&amp;filter,'Jurnal Umum (3)'!$D:$M,9,0))</f>
        <v>0</v>
      </c>
      <c r="I36" s="126" t="str">
        <f>IF(E36="","",VLOOKUP(D36&amp;filter,'Jurnal Umum (3)'!$D:$M,10,0))</f>
        <v/>
      </c>
      <c r="J36" s="127" t="str">
        <f t="shared" si="5"/>
        <v/>
      </c>
    </row>
    <row r="37" spans="2:10" ht="15" thickBot="1" x14ac:dyDescent="0.35">
      <c r="B37">
        <f t="shared" si="1"/>
        <v>0</v>
      </c>
      <c r="D37" s="35">
        <v>29</v>
      </c>
      <c r="E37" s="39" t="str">
        <f>IFERROR(IF(filter="","",VLOOKUP(D37&amp;filter,'Jurnal Umum (3)'!$D:$M,4,0)),"")</f>
        <v/>
      </c>
      <c r="F37" s="5" t="str">
        <f>IF(E37="","",VLOOKUP(D37&amp;filter,'Jurnal Umum (3)'!$D:$M,5,0))</f>
        <v/>
      </c>
      <c r="G37" s="5" t="str">
        <f>IF(E37="","",VLOOKUP(D37&amp;filter,'Jurnal Umum (3)'!$D:$M,6,0))</f>
        <v/>
      </c>
      <c r="H37" s="126">
        <f>IF(E37="",0,VLOOKUP(D37&amp;filter,'Jurnal Umum (3)'!$D:$M,9,0))</f>
        <v>0</v>
      </c>
      <c r="I37" s="126" t="str">
        <f>IF(E37="","",VLOOKUP(D37&amp;filter,'Jurnal Umum (3)'!$D:$M,10,0))</f>
        <v/>
      </c>
      <c r="J37" s="127" t="str">
        <f t="shared" si="5"/>
        <v/>
      </c>
    </row>
    <row r="38" spans="2:10" ht="15" thickBot="1" x14ac:dyDescent="0.35">
      <c r="B38">
        <f t="shared" si="1"/>
        <v>0</v>
      </c>
      <c r="D38" s="35">
        <v>30</v>
      </c>
      <c r="E38" s="39" t="str">
        <f>IFERROR(IF(filter="","",VLOOKUP(D38&amp;filter,'Jurnal Umum (3)'!$D:$M,4,0)),"")</f>
        <v/>
      </c>
      <c r="F38" s="5" t="str">
        <f>IF(E38="","",VLOOKUP(D38&amp;filter,'Jurnal Umum (3)'!$D:$M,5,0))</f>
        <v/>
      </c>
      <c r="G38" s="5" t="str">
        <f>IF(E38="","",VLOOKUP(D38&amp;filter,'Jurnal Umum (3)'!$D:$M,6,0))</f>
        <v/>
      </c>
      <c r="H38" s="126">
        <f>IF(E38="",0,VLOOKUP(D38&amp;filter,'Jurnal Umum (3)'!$D:$M,9,0))</f>
        <v>0</v>
      </c>
      <c r="I38" s="126" t="str">
        <f>IF(E38="","",VLOOKUP(D38&amp;filter,'Jurnal Umum (3)'!$D:$M,10,0))</f>
        <v/>
      </c>
      <c r="J38" s="127" t="str">
        <f t="shared" si="5"/>
        <v/>
      </c>
    </row>
    <row r="39" spans="2:10" x14ac:dyDescent="0.3">
      <c r="H39" s="60">
        <f>SUM(H8:H38)</f>
        <v>10000</v>
      </c>
      <c r="I39" s="60">
        <f>SUM(I8:I38)</f>
        <v>0</v>
      </c>
    </row>
  </sheetData>
  <autoFilter ref="B7:B38" xr:uid="{63E7D21B-8BEF-411E-BEA5-D4BF626193BD}"/>
  <mergeCells count="6">
    <mergeCell ref="D6:J6"/>
    <mergeCell ref="D2:H2"/>
    <mergeCell ref="D3:H3"/>
    <mergeCell ref="D4:H4"/>
    <mergeCell ref="D5:H5"/>
    <mergeCell ref="I4:J4"/>
  </mergeCells>
  <dataValidations count="1">
    <dataValidation type="list" allowBlank="1" showInputMessage="1" showErrorMessage="1" sqref="J2 R12" xr:uid="{1EDD9077-6C7B-452C-9625-208C9789A06E}">
      <formula1>kode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4026-61E7-4818-A09B-82952D5D5E0D}">
  <sheetPr filterMode="1"/>
  <dimension ref="B1:M147"/>
  <sheetViews>
    <sheetView workbookViewId="0">
      <selection activeCell="B8" sqref="B8"/>
    </sheetView>
  </sheetViews>
  <sheetFormatPr defaultRowHeight="14.4" x14ac:dyDescent="0.3"/>
  <cols>
    <col min="2" max="2" width="8.88671875" customWidth="1"/>
    <col min="4" max="4" width="42.88671875" customWidth="1"/>
    <col min="5" max="5" width="10.44140625" customWidth="1"/>
    <col min="6" max="6" width="6.77734375" customWidth="1"/>
    <col min="7" max="7" width="17.44140625" hidden="1" customWidth="1"/>
    <col min="8" max="8" width="15" hidden="1" customWidth="1"/>
    <col min="9" max="10" width="17.44140625" customWidth="1"/>
    <col min="11" max="11" width="16.21875" hidden="1" customWidth="1"/>
    <col min="12" max="12" width="16.44140625" hidden="1" customWidth="1"/>
  </cols>
  <sheetData>
    <row r="1" spans="2:12" ht="15" thickBot="1" x14ac:dyDescent="0.35"/>
    <row r="2" spans="2:12" x14ac:dyDescent="0.3">
      <c r="C2" s="236"/>
      <c r="D2" s="237"/>
      <c r="E2" s="237"/>
      <c r="F2" s="237"/>
      <c r="G2" s="237"/>
      <c r="H2" s="237"/>
      <c r="I2" s="237"/>
      <c r="J2" s="237"/>
      <c r="K2" s="237"/>
      <c r="L2" s="238"/>
    </row>
    <row r="3" spans="2:12" x14ac:dyDescent="0.3">
      <c r="C3" s="239" t="s">
        <v>112</v>
      </c>
      <c r="D3" s="215"/>
      <c r="E3" s="215"/>
      <c r="F3" s="215"/>
      <c r="G3" s="215"/>
      <c r="H3" s="215"/>
      <c r="I3" s="215"/>
      <c r="J3" s="215"/>
      <c r="K3" s="215"/>
      <c r="L3" s="240"/>
    </row>
    <row r="4" spans="2:12" ht="15" thickBot="1" x14ac:dyDescent="0.35">
      <c r="C4" s="241">
        <f>'Worksheet (6)'!B4:S4</f>
        <v>0</v>
      </c>
      <c r="D4" s="242"/>
      <c r="E4" s="242"/>
      <c r="F4" s="242"/>
      <c r="G4" s="242"/>
      <c r="H4" s="242"/>
      <c r="I4" s="242"/>
      <c r="J4" s="242"/>
      <c r="K4" s="242"/>
      <c r="L4" s="243"/>
    </row>
    <row r="5" spans="2:12" ht="15" thickBot="1" x14ac:dyDescent="0.35">
      <c r="C5" s="244">
        <f>'Worksheet (6)'!B5:S5</f>
        <v>0</v>
      </c>
      <c r="D5" s="245"/>
      <c r="E5" s="245"/>
      <c r="F5" s="245"/>
      <c r="G5" s="245"/>
      <c r="H5" s="245"/>
      <c r="I5" s="338"/>
      <c r="J5" s="338"/>
      <c r="K5" s="245"/>
      <c r="L5" s="246"/>
    </row>
    <row r="6" spans="2:12" ht="15" thickBot="1" x14ac:dyDescent="0.35">
      <c r="C6" s="247" t="s">
        <v>0</v>
      </c>
      <c r="D6" s="249" t="s">
        <v>1</v>
      </c>
      <c r="E6" s="49" t="s">
        <v>3</v>
      </c>
      <c r="F6" s="50" t="s">
        <v>2</v>
      </c>
      <c r="G6" s="216" t="s">
        <v>22</v>
      </c>
      <c r="H6" s="217"/>
      <c r="I6" s="335" t="s">
        <v>228</v>
      </c>
      <c r="J6" s="335"/>
      <c r="K6" s="233" t="s">
        <v>63</v>
      </c>
      <c r="L6" s="235"/>
    </row>
    <row r="7" spans="2:12" ht="15" thickBot="1" x14ac:dyDescent="0.35">
      <c r="C7" s="347"/>
      <c r="D7" s="348"/>
      <c r="E7" s="49"/>
      <c r="F7" s="50"/>
      <c r="G7" s="24" t="s">
        <v>4</v>
      </c>
      <c r="H7" s="336" t="s">
        <v>5</v>
      </c>
      <c r="I7" s="340" t="s">
        <v>4</v>
      </c>
      <c r="J7" s="341" t="s">
        <v>5</v>
      </c>
      <c r="K7" s="24" t="s">
        <v>4</v>
      </c>
      <c r="L7" s="6" t="s">
        <v>5</v>
      </c>
    </row>
    <row r="8" spans="2:12" x14ac:dyDescent="0.3">
      <c r="B8">
        <f>IF(D8=0,0,1)</f>
        <v>1</v>
      </c>
      <c r="C8" s="349">
        <f>'Formula (2)'!C7</f>
        <v>10000</v>
      </c>
      <c r="D8" s="350" t="str">
        <f t="shared" ref="D8" si="0">IF(C8="","",VLOOKUP(C8,daftarakun,2,0))</f>
        <v>Harta Lancar</v>
      </c>
      <c r="E8" s="350" t="str">
        <f t="shared" ref="E8" si="1">IF(C8="","",VLOOKUP(C8,daftarakun,4,0))</f>
        <v>Db</v>
      </c>
      <c r="F8" s="351" t="str">
        <f t="shared" ref="F8" si="2">IF(C8="","",VLOOKUP(C8,daftarakun,3,0))</f>
        <v>Nrc</v>
      </c>
      <c r="G8" s="25">
        <f t="shared" ref="G8" si="3">IF(C8="","",VLOOKUP(C8,daftarakun,5,0))</f>
        <v>0</v>
      </c>
      <c r="H8" s="14">
        <f t="shared" ref="H8" si="4">IF(C8="","",VLOOKUP(C8,daftarakun,6,0))</f>
        <v>0</v>
      </c>
      <c r="I8" s="354">
        <f t="shared" ref="I8" ca="1" si="5">SUMIF(KBNS,C8,JB)</f>
        <v>0</v>
      </c>
      <c r="J8" s="355">
        <f ca="1">SUMIF(KBNS,C8,JK)</f>
        <v>0</v>
      </c>
      <c r="K8" s="15">
        <f ca="1">IF(E8="Db",G8-H8+I8-J8,0)</f>
        <v>0</v>
      </c>
      <c r="L8" s="326">
        <f>IF(E8="Kr",H8+J8-G8-I8,0)</f>
        <v>0</v>
      </c>
    </row>
    <row r="9" spans="2:12" x14ac:dyDescent="0.3">
      <c r="B9">
        <f t="shared" ref="B9:B72" si="6">IF(D9=0,0,1)</f>
        <v>1</v>
      </c>
      <c r="C9" s="11">
        <f>'Formula (2)'!C8</f>
        <v>10001</v>
      </c>
      <c r="D9" s="12" t="str">
        <f t="shared" ref="D9:D18" si="7">IF(C9="","",VLOOKUP(C9,daftarakun,2,0))</f>
        <v>Kas</v>
      </c>
      <c r="E9" s="12" t="str">
        <f t="shared" ref="E9:E18" si="8">IF(C9="","",VLOOKUP(C9,daftarakun,4,0))</f>
        <v>Db</v>
      </c>
      <c r="F9" s="27" t="str">
        <f t="shared" ref="F9:F18" si="9">IF(C9="","",VLOOKUP(C9,daftarakun,3,0))</f>
        <v>Nrc</v>
      </c>
      <c r="G9" s="25">
        <f t="shared" ref="G9:G18" si="10">IF(C9="","",VLOOKUP(C9,daftarakun,5,0))</f>
        <v>100000</v>
      </c>
      <c r="H9" s="14">
        <f t="shared" ref="H9:H18" si="11">IF(C9="","",VLOOKUP(C9,daftarakun,6,0))</f>
        <v>0</v>
      </c>
      <c r="I9" s="342">
        <f t="shared" ref="I9:I18" ca="1" si="12">SUMIF(KBNS,C9,JB)</f>
        <v>0</v>
      </c>
      <c r="J9" s="343">
        <f ca="1">SUMIF(KBNS,C9,JK)</f>
        <v>20000</v>
      </c>
      <c r="K9" s="15">
        <f ca="1">IF(E9="Db",G9-H9+I9-J9,0)</f>
        <v>80000</v>
      </c>
      <c r="L9" s="326">
        <f>IF(E9="Kr",H9+J9-G9-I9,0)</f>
        <v>0</v>
      </c>
    </row>
    <row r="10" spans="2:12" x14ac:dyDescent="0.3">
      <c r="B10">
        <f t="shared" si="6"/>
        <v>1</v>
      </c>
      <c r="C10" s="11">
        <f>'Formula (2)'!C9</f>
        <v>10002</v>
      </c>
      <c r="D10" s="12" t="str">
        <f t="shared" si="7"/>
        <v>Persediaan Barang Dagang</v>
      </c>
      <c r="E10" s="12" t="str">
        <f t="shared" si="8"/>
        <v>Db</v>
      </c>
      <c r="F10" s="27" t="str">
        <f t="shared" si="9"/>
        <v>Nrc</v>
      </c>
      <c r="G10" s="25">
        <f t="shared" si="10"/>
        <v>0</v>
      </c>
      <c r="H10" s="14">
        <f t="shared" si="11"/>
        <v>0</v>
      </c>
      <c r="I10" s="342">
        <f t="shared" ca="1" si="12"/>
        <v>0</v>
      </c>
      <c r="J10" s="343">
        <f ca="1">SUMIF(KBNS,C10,JK)</f>
        <v>0</v>
      </c>
      <c r="K10" s="15">
        <f ca="1">IF(E10="Db",G10-H10+I10-J10,0)</f>
        <v>0</v>
      </c>
      <c r="L10" s="326">
        <f>IF(E10="Kr",H10+J10-G10-I10,0)</f>
        <v>0</v>
      </c>
    </row>
    <row r="11" spans="2:12" x14ac:dyDescent="0.3">
      <c r="B11">
        <f t="shared" si="6"/>
        <v>1</v>
      </c>
      <c r="C11" s="11">
        <f>'Formula (2)'!C10</f>
        <v>10003</v>
      </c>
      <c r="D11" s="12" t="str">
        <f t="shared" si="7"/>
        <v>Piutang Usaha</v>
      </c>
      <c r="E11" s="12" t="str">
        <f t="shared" si="8"/>
        <v>Db</v>
      </c>
      <c r="F11" s="27" t="str">
        <f t="shared" si="9"/>
        <v>Nrc</v>
      </c>
      <c r="G11" s="25">
        <f t="shared" si="10"/>
        <v>500000</v>
      </c>
      <c r="H11" s="14">
        <f t="shared" si="11"/>
        <v>0</v>
      </c>
      <c r="I11" s="342">
        <f t="shared" ca="1" si="12"/>
        <v>0</v>
      </c>
      <c r="J11" s="343">
        <f ca="1">SUMIF(KBNS,C11,JK)</f>
        <v>0</v>
      </c>
      <c r="K11" s="15">
        <f ca="1">IF(E11="Db",G11-H11+I11-J11,0)</f>
        <v>500000</v>
      </c>
      <c r="L11" s="326">
        <f>IF(E11="Kr",H11+J11-G11-I11,0)</f>
        <v>0</v>
      </c>
    </row>
    <row r="12" spans="2:12" x14ac:dyDescent="0.3">
      <c r="B12">
        <f t="shared" si="6"/>
        <v>1</v>
      </c>
      <c r="C12" s="11">
        <f>'Formula (2)'!C11</f>
        <v>10004</v>
      </c>
      <c r="D12" s="12" t="str">
        <f t="shared" si="7"/>
        <v>Piutang Pendapatan</v>
      </c>
      <c r="E12" s="12" t="str">
        <f t="shared" si="8"/>
        <v>Db</v>
      </c>
      <c r="F12" s="27" t="str">
        <f t="shared" si="9"/>
        <v>Nrc</v>
      </c>
      <c r="G12" s="25">
        <f t="shared" si="10"/>
        <v>0</v>
      </c>
      <c r="H12" s="14">
        <f t="shared" si="11"/>
        <v>0</v>
      </c>
      <c r="I12" s="342">
        <f t="shared" ca="1" si="12"/>
        <v>0</v>
      </c>
      <c r="J12" s="343">
        <f ca="1">SUMIF(KBNS,C12,JK)</f>
        <v>0</v>
      </c>
      <c r="K12" s="15">
        <f ca="1">IF(E12="Db",G12-H12+I12-J12,0)</f>
        <v>0</v>
      </c>
      <c r="L12" s="326">
        <f>IF(E12="Kr",H12+J12-G12-I12,0)</f>
        <v>0</v>
      </c>
    </row>
    <row r="13" spans="2:12" x14ac:dyDescent="0.3">
      <c r="B13">
        <f t="shared" si="6"/>
        <v>1</v>
      </c>
      <c r="C13" s="11">
        <f>'Formula (2)'!C12</f>
        <v>10005</v>
      </c>
      <c r="D13" s="12" t="str">
        <f t="shared" si="7"/>
        <v>Wesel Tagih</v>
      </c>
      <c r="E13" s="12" t="str">
        <f t="shared" si="8"/>
        <v>Db</v>
      </c>
      <c r="F13" s="27" t="str">
        <f t="shared" si="9"/>
        <v>Nrc</v>
      </c>
      <c r="G13" s="25">
        <f t="shared" si="10"/>
        <v>0</v>
      </c>
      <c r="H13" s="14">
        <f t="shared" si="11"/>
        <v>0</v>
      </c>
      <c r="I13" s="342">
        <f t="shared" ca="1" si="12"/>
        <v>0</v>
      </c>
      <c r="J13" s="343">
        <f ca="1">SUMIF(KBNS,C13,JK)</f>
        <v>0</v>
      </c>
      <c r="K13" s="15">
        <f ca="1">IF(E13="Db",G13-H13+I13-J13,0)</f>
        <v>0</v>
      </c>
      <c r="L13" s="326">
        <f>IF(E13="Kr",H13+J13-G13-I13,0)</f>
        <v>0</v>
      </c>
    </row>
    <row r="14" spans="2:12" x14ac:dyDescent="0.3">
      <c r="B14">
        <f t="shared" si="6"/>
        <v>1</v>
      </c>
      <c r="C14" s="11">
        <f>'Formula (2)'!C13</f>
        <v>10006</v>
      </c>
      <c r="D14" s="12" t="str">
        <f t="shared" si="7"/>
        <v>Perlengkapan Kantor</v>
      </c>
      <c r="E14" s="12" t="str">
        <f t="shared" si="8"/>
        <v>Db</v>
      </c>
      <c r="F14" s="27" t="str">
        <f t="shared" si="9"/>
        <v>Nrc</v>
      </c>
      <c r="G14" s="25">
        <f t="shared" si="10"/>
        <v>0</v>
      </c>
      <c r="H14" s="14">
        <f t="shared" si="11"/>
        <v>0</v>
      </c>
      <c r="I14" s="342">
        <f t="shared" ca="1" si="12"/>
        <v>20000</v>
      </c>
      <c r="J14" s="343">
        <f ca="1">SUMIF(KBNS,C14,JK)</f>
        <v>0</v>
      </c>
      <c r="K14" s="15">
        <f ca="1">IF(E14="Db",G14-H14+I14-J14,0)</f>
        <v>20000</v>
      </c>
      <c r="L14" s="326">
        <f>IF(E14="Kr",H14+J14-G14-I14,0)</f>
        <v>0</v>
      </c>
    </row>
    <row r="15" spans="2:12" x14ac:dyDescent="0.3">
      <c r="B15">
        <f t="shared" si="6"/>
        <v>1</v>
      </c>
      <c r="C15" s="11">
        <f>'Formula (2)'!C14</f>
        <v>10007</v>
      </c>
      <c r="D15" s="12" t="str">
        <f t="shared" si="7"/>
        <v>Perlengkapan Toko</v>
      </c>
      <c r="E15" s="12" t="str">
        <f t="shared" si="8"/>
        <v>Db</v>
      </c>
      <c r="F15" s="27" t="str">
        <f t="shared" si="9"/>
        <v>Nrc</v>
      </c>
      <c r="G15" s="25">
        <f t="shared" si="10"/>
        <v>0</v>
      </c>
      <c r="H15" s="14">
        <f t="shared" si="11"/>
        <v>0</v>
      </c>
      <c r="I15" s="342">
        <f t="shared" ca="1" si="12"/>
        <v>0</v>
      </c>
      <c r="J15" s="343">
        <f ca="1">SUMIF(KBNS,C15,JK)</f>
        <v>0</v>
      </c>
      <c r="K15" s="15">
        <f ca="1">IF(E15="Db",G15-H15+I15-J15,0)</f>
        <v>0</v>
      </c>
      <c r="L15" s="326">
        <f>IF(E15="Kr",H15+J15-G15-I15,0)</f>
        <v>0</v>
      </c>
    </row>
    <row r="16" spans="2:12" x14ac:dyDescent="0.3">
      <c r="B16">
        <f t="shared" si="6"/>
        <v>1</v>
      </c>
      <c r="C16" s="11">
        <f>'Formula (2)'!C15</f>
        <v>10008</v>
      </c>
      <c r="D16" s="12" t="str">
        <f t="shared" si="7"/>
        <v>Iklan Dibayar Dimuka</v>
      </c>
      <c r="E16" s="12" t="str">
        <f t="shared" si="8"/>
        <v>Db</v>
      </c>
      <c r="F16" s="27" t="str">
        <f t="shared" si="9"/>
        <v>Nrc</v>
      </c>
      <c r="G16" s="25">
        <f t="shared" si="10"/>
        <v>0</v>
      </c>
      <c r="H16" s="14">
        <f t="shared" si="11"/>
        <v>0</v>
      </c>
      <c r="I16" s="342">
        <f t="shared" ca="1" si="12"/>
        <v>0</v>
      </c>
      <c r="J16" s="343">
        <f ca="1">SUMIF(KBNS,C16,JK)</f>
        <v>0</v>
      </c>
      <c r="K16" s="15">
        <f ca="1">IF(E16="Db",G16-H16+I16-J16,0)</f>
        <v>0</v>
      </c>
      <c r="L16" s="326">
        <f>IF(E16="Kr",H16+J16-G16-I16,0)</f>
        <v>0</v>
      </c>
    </row>
    <row r="17" spans="2:12" x14ac:dyDescent="0.3">
      <c r="B17">
        <f t="shared" si="6"/>
        <v>1</v>
      </c>
      <c r="C17" s="11">
        <f>'Formula (2)'!C16</f>
        <v>10009</v>
      </c>
      <c r="D17" s="12" t="str">
        <f t="shared" si="7"/>
        <v>Sewa Dibayar Dimuka</v>
      </c>
      <c r="E17" s="12" t="str">
        <f t="shared" si="8"/>
        <v>Db</v>
      </c>
      <c r="F17" s="27" t="str">
        <f t="shared" si="9"/>
        <v>Nrc</v>
      </c>
      <c r="G17" s="25">
        <f t="shared" si="10"/>
        <v>0</v>
      </c>
      <c r="H17" s="14">
        <f t="shared" si="11"/>
        <v>0</v>
      </c>
      <c r="I17" s="342">
        <f t="shared" ca="1" si="12"/>
        <v>0</v>
      </c>
      <c r="J17" s="343">
        <f ca="1">SUMIF(KBNS,C17,JK)</f>
        <v>0</v>
      </c>
      <c r="K17" s="15">
        <f t="shared" ref="K17:K80" ca="1" si="13">IF(E17="Db",G17-H17+I17-J17,0)</f>
        <v>0</v>
      </c>
      <c r="L17" s="326">
        <f t="shared" ref="L17:L80" si="14">IF(E17="Kr",H17+J17-G17-I17,0)</f>
        <v>0</v>
      </c>
    </row>
    <row r="18" spans="2:12" ht="15" thickBot="1" x14ac:dyDescent="0.35">
      <c r="B18">
        <f t="shared" si="6"/>
        <v>1</v>
      </c>
      <c r="C18" s="340">
        <f>'Formula (2)'!C17</f>
        <v>10010</v>
      </c>
      <c r="D18" s="334" t="str">
        <f t="shared" si="7"/>
        <v>Asuransi Dibayar Dimuka</v>
      </c>
      <c r="E18" s="334" t="str">
        <f t="shared" si="8"/>
        <v>Db</v>
      </c>
      <c r="F18" s="341" t="str">
        <f t="shared" si="9"/>
        <v>Nrc</v>
      </c>
      <c r="G18" s="25">
        <f t="shared" si="10"/>
        <v>0</v>
      </c>
      <c r="H18" s="14">
        <f t="shared" si="11"/>
        <v>0</v>
      </c>
      <c r="I18" s="344">
        <f t="shared" ca="1" si="12"/>
        <v>0</v>
      </c>
      <c r="J18" s="345">
        <f ca="1">SUMIF(KBNS,C18,JK)</f>
        <v>0</v>
      </c>
      <c r="K18" s="15">
        <f t="shared" ca="1" si="13"/>
        <v>0</v>
      </c>
      <c r="L18" s="326">
        <f t="shared" si="14"/>
        <v>0</v>
      </c>
    </row>
    <row r="19" spans="2:12" ht="15" hidden="1" thickBot="1" x14ac:dyDescent="0.35">
      <c r="B19">
        <f t="shared" si="6"/>
        <v>0</v>
      </c>
      <c r="C19" s="11">
        <f>'Formula (2)'!C18</f>
        <v>10011</v>
      </c>
      <c r="D19" s="12">
        <f t="shared" ref="D19:D82" si="15">IF(C19="","",VLOOKUP(C19,daftarakun,2,0))</f>
        <v>0</v>
      </c>
      <c r="E19" s="12" t="str">
        <f t="shared" ref="E19:E82" si="16">IF(C19="","",VLOOKUP(C19,daftarakun,4,0))</f>
        <v>Db</v>
      </c>
      <c r="F19" s="27" t="str">
        <f t="shared" ref="F19:F82" si="17">IF(C19="","",VLOOKUP(C19,daftarakun,3,0))</f>
        <v>Nrc</v>
      </c>
      <c r="G19" s="25">
        <f t="shared" ref="G19:G82" si="18">IF(C19="","",VLOOKUP(C19,daftarakun,5,0))</f>
        <v>0</v>
      </c>
      <c r="H19" s="14">
        <f t="shared" ref="H19:H82" si="19">IF(C19="","",VLOOKUP(C19,daftarakun,6,0))</f>
        <v>0</v>
      </c>
      <c r="I19" s="16">
        <f t="shared" ref="I19:I82" ca="1" si="20">SUMIF(KBNS,C19,JB)</f>
        <v>0</v>
      </c>
      <c r="J19" s="16">
        <f ca="1">SUMIF(KBNS,C19,JK)</f>
        <v>0</v>
      </c>
      <c r="K19" s="15">
        <f t="shared" ca="1" si="13"/>
        <v>0</v>
      </c>
      <c r="L19" s="326">
        <f t="shared" si="14"/>
        <v>0</v>
      </c>
    </row>
    <row r="20" spans="2:12" ht="15" hidden="1" thickBot="1" x14ac:dyDescent="0.35">
      <c r="B20">
        <f t="shared" si="6"/>
        <v>0</v>
      </c>
      <c r="C20" s="11">
        <f>'Formula (2)'!C19</f>
        <v>10012</v>
      </c>
      <c r="D20" s="12">
        <f t="shared" si="15"/>
        <v>0</v>
      </c>
      <c r="E20" s="12" t="str">
        <f t="shared" si="16"/>
        <v>Db</v>
      </c>
      <c r="F20" s="27" t="str">
        <f t="shared" si="17"/>
        <v>Nrc</v>
      </c>
      <c r="G20" s="25">
        <f t="shared" si="18"/>
        <v>0</v>
      </c>
      <c r="H20" s="14">
        <f t="shared" si="19"/>
        <v>0</v>
      </c>
      <c r="I20" s="16">
        <f t="shared" ca="1" si="20"/>
        <v>0</v>
      </c>
      <c r="J20" s="16">
        <f ca="1">SUMIF(KBNS,C20,JK)</f>
        <v>0</v>
      </c>
      <c r="K20" s="15">
        <f t="shared" ca="1" si="13"/>
        <v>0</v>
      </c>
      <c r="L20" s="326">
        <f t="shared" si="14"/>
        <v>0</v>
      </c>
    </row>
    <row r="21" spans="2:12" ht="15" hidden="1" thickBot="1" x14ac:dyDescent="0.35">
      <c r="B21">
        <f t="shared" si="6"/>
        <v>0</v>
      </c>
      <c r="C21" s="11">
        <f>'Formula (2)'!C20</f>
        <v>10013</v>
      </c>
      <c r="D21" s="12">
        <f t="shared" si="15"/>
        <v>0</v>
      </c>
      <c r="E21" s="12" t="str">
        <f t="shared" si="16"/>
        <v>Db</v>
      </c>
      <c r="F21" s="27" t="str">
        <f t="shared" si="17"/>
        <v>Nrc</v>
      </c>
      <c r="G21" s="25">
        <f t="shared" si="18"/>
        <v>0</v>
      </c>
      <c r="H21" s="14">
        <f t="shared" si="19"/>
        <v>0</v>
      </c>
      <c r="I21" s="16">
        <f t="shared" ca="1" si="20"/>
        <v>0</v>
      </c>
      <c r="J21" s="16">
        <f ca="1">SUMIF(KBNS,C21,JK)</f>
        <v>0</v>
      </c>
      <c r="K21" s="15">
        <f t="shared" ca="1" si="13"/>
        <v>0</v>
      </c>
      <c r="L21" s="326">
        <f t="shared" si="14"/>
        <v>0</v>
      </c>
    </row>
    <row r="22" spans="2:12" ht="15" hidden="1" thickBot="1" x14ac:dyDescent="0.35">
      <c r="B22">
        <f t="shared" si="6"/>
        <v>0</v>
      </c>
      <c r="C22" s="11">
        <f>'Formula (2)'!C21</f>
        <v>10014</v>
      </c>
      <c r="D22" s="12">
        <f t="shared" si="15"/>
        <v>0</v>
      </c>
      <c r="E22" s="12" t="str">
        <f t="shared" si="16"/>
        <v>Db</v>
      </c>
      <c r="F22" s="27" t="str">
        <f t="shared" si="17"/>
        <v>Nrc</v>
      </c>
      <c r="G22" s="25">
        <f t="shared" si="18"/>
        <v>0</v>
      </c>
      <c r="H22" s="14">
        <f t="shared" si="19"/>
        <v>0</v>
      </c>
      <c r="I22" s="16">
        <f t="shared" ca="1" si="20"/>
        <v>0</v>
      </c>
      <c r="J22" s="16">
        <f ca="1">SUMIF(KBNS,C22,JK)</f>
        <v>0</v>
      </c>
      <c r="K22" s="15">
        <f t="shared" ca="1" si="13"/>
        <v>0</v>
      </c>
      <c r="L22" s="326">
        <f t="shared" si="14"/>
        <v>0</v>
      </c>
    </row>
    <row r="23" spans="2:12" ht="15" hidden="1" thickBot="1" x14ac:dyDescent="0.35">
      <c r="B23">
        <f t="shared" si="6"/>
        <v>0</v>
      </c>
      <c r="C23" s="11">
        <f>'Formula (2)'!C22</f>
        <v>10015</v>
      </c>
      <c r="D23" s="12">
        <f t="shared" si="15"/>
        <v>0</v>
      </c>
      <c r="E23" s="12" t="str">
        <f t="shared" si="16"/>
        <v>Db</v>
      </c>
      <c r="F23" s="27" t="str">
        <f t="shared" si="17"/>
        <v>Nrc</v>
      </c>
      <c r="G23" s="25">
        <f t="shared" si="18"/>
        <v>0</v>
      </c>
      <c r="H23" s="14">
        <f t="shared" si="19"/>
        <v>0</v>
      </c>
      <c r="I23" s="16">
        <f t="shared" ca="1" si="20"/>
        <v>0</v>
      </c>
      <c r="J23" s="16">
        <f ca="1">SUMIF(KBNS,C23,JK)</f>
        <v>0</v>
      </c>
      <c r="K23" s="15">
        <f t="shared" ca="1" si="13"/>
        <v>0</v>
      </c>
      <c r="L23" s="326">
        <f t="shared" si="14"/>
        <v>0</v>
      </c>
    </row>
    <row r="24" spans="2:12" ht="15" hidden="1" thickBot="1" x14ac:dyDescent="0.35">
      <c r="B24">
        <f t="shared" si="6"/>
        <v>0</v>
      </c>
      <c r="C24" s="11">
        <f>'Formula (2)'!C23</f>
        <v>10016</v>
      </c>
      <c r="D24" s="12">
        <f t="shared" si="15"/>
        <v>0</v>
      </c>
      <c r="E24" s="12" t="str">
        <f t="shared" si="16"/>
        <v>Db</v>
      </c>
      <c r="F24" s="27" t="str">
        <f t="shared" si="17"/>
        <v>Nrc</v>
      </c>
      <c r="G24" s="25">
        <f t="shared" si="18"/>
        <v>0</v>
      </c>
      <c r="H24" s="14">
        <f t="shared" si="19"/>
        <v>0</v>
      </c>
      <c r="I24" s="16">
        <f t="shared" ca="1" si="20"/>
        <v>0</v>
      </c>
      <c r="J24" s="16">
        <f ca="1">SUMIF(KBNS,C24,JK)</f>
        <v>0</v>
      </c>
      <c r="K24" s="15">
        <f t="shared" ca="1" si="13"/>
        <v>0</v>
      </c>
      <c r="L24" s="326">
        <f t="shared" si="14"/>
        <v>0</v>
      </c>
    </row>
    <row r="25" spans="2:12" ht="15" hidden="1" thickBot="1" x14ac:dyDescent="0.35">
      <c r="B25">
        <f t="shared" si="6"/>
        <v>0</v>
      </c>
      <c r="C25" s="11">
        <f>'Formula (2)'!C24</f>
        <v>10017</v>
      </c>
      <c r="D25" s="12">
        <f t="shared" si="15"/>
        <v>0</v>
      </c>
      <c r="E25" s="12" t="str">
        <f t="shared" si="16"/>
        <v>Db</v>
      </c>
      <c r="F25" s="27" t="str">
        <f t="shared" si="17"/>
        <v>Nrc</v>
      </c>
      <c r="G25" s="25">
        <f t="shared" si="18"/>
        <v>0</v>
      </c>
      <c r="H25" s="14">
        <f t="shared" si="19"/>
        <v>0</v>
      </c>
      <c r="I25" s="16">
        <f t="shared" ca="1" si="20"/>
        <v>0</v>
      </c>
      <c r="J25" s="16">
        <f ca="1">SUMIF(KBNS,C25,JK)</f>
        <v>0</v>
      </c>
      <c r="K25" s="15">
        <f t="shared" ca="1" si="13"/>
        <v>0</v>
      </c>
      <c r="L25" s="326">
        <f t="shared" si="14"/>
        <v>0</v>
      </c>
    </row>
    <row r="26" spans="2:12" ht="15" hidden="1" thickBot="1" x14ac:dyDescent="0.35">
      <c r="B26">
        <f t="shared" si="6"/>
        <v>0</v>
      </c>
      <c r="C26" s="11">
        <f>'Formula (2)'!C25</f>
        <v>10018</v>
      </c>
      <c r="D26" s="12">
        <f t="shared" si="15"/>
        <v>0</v>
      </c>
      <c r="E26" s="12" t="str">
        <f t="shared" si="16"/>
        <v>Db</v>
      </c>
      <c r="F26" s="27" t="str">
        <f t="shared" si="17"/>
        <v>Nrc</v>
      </c>
      <c r="G26" s="25">
        <f t="shared" si="18"/>
        <v>0</v>
      </c>
      <c r="H26" s="14">
        <f t="shared" si="19"/>
        <v>0</v>
      </c>
      <c r="I26" s="16">
        <f t="shared" ca="1" si="20"/>
        <v>0</v>
      </c>
      <c r="J26" s="16">
        <f ca="1">SUMIF(KBNS,C26,JK)</f>
        <v>0</v>
      </c>
      <c r="K26" s="15">
        <f t="shared" ca="1" si="13"/>
        <v>0</v>
      </c>
      <c r="L26" s="326">
        <f t="shared" si="14"/>
        <v>0</v>
      </c>
    </row>
    <row r="27" spans="2:12" ht="15" hidden="1" thickBot="1" x14ac:dyDescent="0.35">
      <c r="B27">
        <f t="shared" si="6"/>
        <v>0</v>
      </c>
      <c r="C27" s="11">
        <f>'Formula (2)'!C26</f>
        <v>10019</v>
      </c>
      <c r="D27" s="12">
        <f t="shared" si="15"/>
        <v>0</v>
      </c>
      <c r="E27" s="12" t="str">
        <f t="shared" si="16"/>
        <v>Db</v>
      </c>
      <c r="F27" s="27" t="str">
        <f t="shared" si="17"/>
        <v>Nrc</v>
      </c>
      <c r="G27" s="25">
        <f t="shared" si="18"/>
        <v>0</v>
      </c>
      <c r="H27" s="14">
        <f t="shared" si="19"/>
        <v>0</v>
      </c>
      <c r="I27" s="16">
        <f t="shared" ca="1" si="20"/>
        <v>0</v>
      </c>
      <c r="J27" s="16">
        <f ca="1">SUMIF(KBNS,C27,JK)</f>
        <v>0</v>
      </c>
      <c r="K27" s="15">
        <f t="shared" ca="1" si="13"/>
        <v>0</v>
      </c>
      <c r="L27" s="326">
        <f t="shared" si="14"/>
        <v>0</v>
      </c>
    </row>
    <row r="28" spans="2:12" ht="15" hidden="1" thickBot="1" x14ac:dyDescent="0.35">
      <c r="B28">
        <f t="shared" si="6"/>
        <v>0</v>
      </c>
      <c r="C28" s="329">
        <f>'Formula (2)'!C27</f>
        <v>10020</v>
      </c>
      <c r="D28" s="30">
        <f t="shared" si="15"/>
        <v>0</v>
      </c>
      <c r="E28" s="30" t="str">
        <f t="shared" si="16"/>
        <v>Db</v>
      </c>
      <c r="F28" s="330" t="str">
        <f t="shared" si="17"/>
        <v>Nrc</v>
      </c>
      <c r="G28" s="25">
        <f t="shared" si="18"/>
        <v>0</v>
      </c>
      <c r="H28" s="14">
        <f t="shared" si="19"/>
        <v>0</v>
      </c>
      <c r="I28" s="339">
        <f t="shared" ca="1" si="20"/>
        <v>0</v>
      </c>
      <c r="J28" s="339">
        <f ca="1">SUMIF(KBNS,C28,JK)</f>
        <v>0</v>
      </c>
      <c r="K28" s="15">
        <f t="shared" ca="1" si="13"/>
        <v>0</v>
      </c>
      <c r="L28" s="326">
        <f t="shared" si="14"/>
        <v>0</v>
      </c>
    </row>
    <row r="29" spans="2:12" x14ac:dyDescent="0.3">
      <c r="B29">
        <f t="shared" si="6"/>
        <v>1</v>
      </c>
      <c r="C29" s="349">
        <f>'Formula (2)'!C28</f>
        <v>11000</v>
      </c>
      <c r="D29" s="350" t="str">
        <f t="shared" si="15"/>
        <v>Harta tetap</v>
      </c>
      <c r="E29" s="350" t="str">
        <f t="shared" si="16"/>
        <v>Db</v>
      </c>
      <c r="F29" s="351" t="str">
        <f t="shared" si="17"/>
        <v>Nrc</v>
      </c>
      <c r="G29" s="25">
        <f t="shared" si="18"/>
        <v>0</v>
      </c>
      <c r="H29" s="14">
        <f t="shared" si="19"/>
        <v>0</v>
      </c>
      <c r="I29" s="352">
        <f t="shared" ca="1" si="20"/>
        <v>0</v>
      </c>
      <c r="J29" s="353">
        <f ca="1">SUMIF(KBNS,C29,JK)</f>
        <v>0</v>
      </c>
      <c r="K29" s="15">
        <f t="shared" ca="1" si="13"/>
        <v>0</v>
      </c>
      <c r="L29" s="326">
        <f t="shared" si="14"/>
        <v>0</v>
      </c>
    </row>
    <row r="30" spans="2:12" x14ac:dyDescent="0.3">
      <c r="B30">
        <f t="shared" si="6"/>
        <v>1</v>
      </c>
      <c r="C30" s="11">
        <f>'Formula (2)'!C29</f>
        <v>11001</v>
      </c>
      <c r="D30" s="12" t="str">
        <f t="shared" si="15"/>
        <v>Peralatan Kantor</v>
      </c>
      <c r="E30" s="12" t="str">
        <f t="shared" si="16"/>
        <v>Db</v>
      </c>
      <c r="F30" s="27" t="str">
        <f t="shared" si="17"/>
        <v>Nrc</v>
      </c>
      <c r="G30" s="25">
        <f t="shared" si="18"/>
        <v>0</v>
      </c>
      <c r="H30" s="14">
        <f t="shared" si="19"/>
        <v>0</v>
      </c>
      <c r="I30" s="342">
        <f t="shared" ca="1" si="20"/>
        <v>0</v>
      </c>
      <c r="J30" s="343">
        <f ca="1">SUMIF(KBNS,C30,JK)</f>
        <v>0</v>
      </c>
      <c r="K30" s="15">
        <f t="shared" ca="1" si="13"/>
        <v>0</v>
      </c>
      <c r="L30" s="326">
        <f t="shared" si="14"/>
        <v>0</v>
      </c>
    </row>
    <row r="31" spans="2:12" x14ac:dyDescent="0.3">
      <c r="B31">
        <f t="shared" si="6"/>
        <v>1</v>
      </c>
      <c r="C31" s="11">
        <f>'Formula (2)'!C30</f>
        <v>11002</v>
      </c>
      <c r="D31" s="12" t="str">
        <f t="shared" si="15"/>
        <v>Akumulasi Penyusutan Peralatan Kantor</v>
      </c>
      <c r="E31" s="12" t="str">
        <f t="shared" si="16"/>
        <v>Kr</v>
      </c>
      <c r="F31" s="27" t="str">
        <f t="shared" si="17"/>
        <v>Nrc</v>
      </c>
      <c r="G31" s="25">
        <f t="shared" si="18"/>
        <v>0</v>
      </c>
      <c r="H31" s="14">
        <f t="shared" si="19"/>
        <v>0</v>
      </c>
      <c r="I31" s="342">
        <f t="shared" ca="1" si="20"/>
        <v>0</v>
      </c>
      <c r="J31" s="343">
        <f ca="1">SUMIF(KBNS,C31,JK)</f>
        <v>0</v>
      </c>
      <c r="K31" s="15">
        <f t="shared" si="13"/>
        <v>0</v>
      </c>
      <c r="L31" s="326">
        <f t="shared" ca="1" si="14"/>
        <v>0</v>
      </c>
    </row>
    <row r="32" spans="2:12" x14ac:dyDescent="0.3">
      <c r="B32">
        <f t="shared" si="6"/>
        <v>1</v>
      </c>
      <c r="C32" s="11">
        <f>'Formula (2)'!C31</f>
        <v>11003</v>
      </c>
      <c r="D32" s="12" t="str">
        <f t="shared" si="15"/>
        <v>Kendaraan</v>
      </c>
      <c r="E32" s="12" t="str">
        <f t="shared" si="16"/>
        <v>Db</v>
      </c>
      <c r="F32" s="27" t="str">
        <f t="shared" si="17"/>
        <v>Nrc</v>
      </c>
      <c r="G32" s="25">
        <f t="shared" si="18"/>
        <v>0</v>
      </c>
      <c r="H32" s="14">
        <f t="shared" si="19"/>
        <v>0</v>
      </c>
      <c r="I32" s="342">
        <f t="shared" ca="1" si="20"/>
        <v>0</v>
      </c>
      <c r="J32" s="343">
        <f ca="1">SUMIF(KBNS,C32,JK)</f>
        <v>0</v>
      </c>
      <c r="K32" s="15">
        <f t="shared" ca="1" si="13"/>
        <v>0</v>
      </c>
      <c r="L32" s="326">
        <f t="shared" si="14"/>
        <v>0</v>
      </c>
    </row>
    <row r="33" spans="2:12" x14ac:dyDescent="0.3">
      <c r="B33">
        <f t="shared" si="6"/>
        <v>1</v>
      </c>
      <c r="C33" s="11">
        <f>'Formula (2)'!C32</f>
        <v>11004</v>
      </c>
      <c r="D33" s="12" t="str">
        <f t="shared" si="15"/>
        <v>Akumulasi Penyusutan Peralatanan Kendaraan</v>
      </c>
      <c r="E33" s="12" t="str">
        <f t="shared" si="16"/>
        <v>Kr</v>
      </c>
      <c r="F33" s="27" t="str">
        <f t="shared" si="17"/>
        <v>Nrc</v>
      </c>
      <c r="G33" s="25">
        <f t="shared" si="18"/>
        <v>0</v>
      </c>
      <c r="H33" s="14">
        <f t="shared" si="19"/>
        <v>0</v>
      </c>
      <c r="I33" s="342">
        <f t="shared" ca="1" si="20"/>
        <v>0</v>
      </c>
      <c r="J33" s="343">
        <f ca="1">SUMIF(KBNS,C33,JK)</f>
        <v>0</v>
      </c>
      <c r="K33" s="15">
        <f t="shared" si="13"/>
        <v>0</v>
      </c>
      <c r="L33" s="326">
        <f t="shared" ca="1" si="14"/>
        <v>0</v>
      </c>
    </row>
    <row r="34" spans="2:12" x14ac:dyDescent="0.3">
      <c r="B34">
        <f t="shared" si="6"/>
        <v>1</v>
      </c>
      <c r="C34" s="11">
        <f>'Formula (2)'!C33</f>
        <v>11005</v>
      </c>
      <c r="D34" s="12" t="str">
        <f t="shared" si="15"/>
        <v>Gedung</v>
      </c>
      <c r="E34" s="12" t="str">
        <f t="shared" si="16"/>
        <v>Db</v>
      </c>
      <c r="F34" s="27" t="str">
        <f t="shared" si="17"/>
        <v>Nrc</v>
      </c>
      <c r="G34" s="25">
        <f t="shared" si="18"/>
        <v>0</v>
      </c>
      <c r="H34" s="14">
        <f t="shared" si="19"/>
        <v>0</v>
      </c>
      <c r="I34" s="342">
        <f t="shared" ca="1" si="20"/>
        <v>0</v>
      </c>
      <c r="J34" s="343">
        <f ca="1">SUMIF(KBNS,C34,JK)</f>
        <v>0</v>
      </c>
      <c r="K34" s="15">
        <f t="shared" ca="1" si="13"/>
        <v>0</v>
      </c>
      <c r="L34" s="326">
        <f t="shared" si="14"/>
        <v>0</v>
      </c>
    </row>
    <row r="35" spans="2:12" x14ac:dyDescent="0.3">
      <c r="B35">
        <f t="shared" si="6"/>
        <v>1</v>
      </c>
      <c r="C35" s="11">
        <f>'Formula (2)'!C34</f>
        <v>11006</v>
      </c>
      <c r="D35" s="12" t="str">
        <f t="shared" si="15"/>
        <v>Akumulasi Penyusutan Gedung</v>
      </c>
      <c r="E35" s="12" t="str">
        <f t="shared" si="16"/>
        <v>Kr</v>
      </c>
      <c r="F35" s="27" t="str">
        <f t="shared" si="17"/>
        <v>Nrc</v>
      </c>
      <c r="G35" s="25">
        <f t="shared" si="18"/>
        <v>0</v>
      </c>
      <c r="H35" s="14">
        <f t="shared" si="19"/>
        <v>0</v>
      </c>
      <c r="I35" s="342">
        <f t="shared" ca="1" si="20"/>
        <v>0</v>
      </c>
      <c r="J35" s="343">
        <f ca="1">SUMIF(KBNS,C35,JK)</f>
        <v>0</v>
      </c>
      <c r="K35" s="15">
        <f t="shared" si="13"/>
        <v>0</v>
      </c>
      <c r="L35" s="326">
        <f t="shared" ca="1" si="14"/>
        <v>0</v>
      </c>
    </row>
    <row r="36" spans="2:12" x14ac:dyDescent="0.3">
      <c r="B36">
        <f t="shared" si="6"/>
        <v>1</v>
      </c>
      <c r="C36" s="11">
        <f>'Formula (2)'!C35</f>
        <v>11007</v>
      </c>
      <c r="D36" s="12" t="str">
        <f t="shared" si="15"/>
        <v>Mesin</v>
      </c>
      <c r="E36" s="12" t="str">
        <f t="shared" si="16"/>
        <v>Db</v>
      </c>
      <c r="F36" s="27" t="str">
        <f t="shared" si="17"/>
        <v>Nrc</v>
      </c>
      <c r="G36" s="25">
        <f t="shared" si="18"/>
        <v>0</v>
      </c>
      <c r="H36" s="14">
        <f t="shared" si="19"/>
        <v>0</v>
      </c>
      <c r="I36" s="342">
        <f t="shared" ca="1" si="20"/>
        <v>0</v>
      </c>
      <c r="J36" s="343">
        <f ca="1">SUMIF(KBNS,C36,JK)</f>
        <v>0</v>
      </c>
      <c r="K36" s="15">
        <f t="shared" ca="1" si="13"/>
        <v>0</v>
      </c>
      <c r="L36" s="326">
        <f t="shared" si="14"/>
        <v>0</v>
      </c>
    </row>
    <row r="37" spans="2:12" x14ac:dyDescent="0.3">
      <c r="B37">
        <f t="shared" si="6"/>
        <v>1</v>
      </c>
      <c r="C37" s="11">
        <f>'Formula (2)'!C36</f>
        <v>11008</v>
      </c>
      <c r="D37" s="12" t="str">
        <f t="shared" si="15"/>
        <v>Akumulasi Penyusutan Mesin</v>
      </c>
      <c r="E37" s="12" t="str">
        <f t="shared" si="16"/>
        <v>Kr</v>
      </c>
      <c r="F37" s="27" t="str">
        <f t="shared" si="17"/>
        <v>Nrc</v>
      </c>
      <c r="G37" s="25">
        <f t="shared" si="18"/>
        <v>0</v>
      </c>
      <c r="H37" s="14">
        <f t="shared" si="19"/>
        <v>0</v>
      </c>
      <c r="I37" s="342">
        <f t="shared" ca="1" si="20"/>
        <v>0</v>
      </c>
      <c r="J37" s="343">
        <f ca="1">SUMIF(KBNS,C37,JK)</f>
        <v>0</v>
      </c>
      <c r="K37" s="15">
        <f t="shared" si="13"/>
        <v>0</v>
      </c>
      <c r="L37" s="326">
        <f t="shared" ca="1" si="14"/>
        <v>0</v>
      </c>
    </row>
    <row r="38" spans="2:12" x14ac:dyDescent="0.3">
      <c r="B38">
        <f t="shared" si="6"/>
        <v>1</v>
      </c>
      <c r="C38" s="11">
        <f>'Formula (2)'!C37</f>
        <v>11009</v>
      </c>
      <c r="D38" s="12" t="str">
        <f t="shared" si="15"/>
        <v>Peralatan Toko</v>
      </c>
      <c r="E38" s="12" t="str">
        <f t="shared" si="16"/>
        <v>Db</v>
      </c>
      <c r="F38" s="27" t="str">
        <f t="shared" si="17"/>
        <v>Nrc</v>
      </c>
      <c r="G38" s="25">
        <f t="shared" si="18"/>
        <v>0</v>
      </c>
      <c r="H38" s="14">
        <f t="shared" si="19"/>
        <v>0</v>
      </c>
      <c r="I38" s="342">
        <f t="shared" ca="1" si="20"/>
        <v>0</v>
      </c>
      <c r="J38" s="343">
        <f ca="1">SUMIF(KBNS,C38,JK)</f>
        <v>0</v>
      </c>
      <c r="K38" s="15">
        <f t="shared" ca="1" si="13"/>
        <v>0</v>
      </c>
      <c r="L38" s="326">
        <f t="shared" si="14"/>
        <v>0</v>
      </c>
    </row>
    <row r="39" spans="2:12" x14ac:dyDescent="0.3">
      <c r="B39">
        <f t="shared" si="6"/>
        <v>1</v>
      </c>
      <c r="C39" s="11">
        <f>'Formula (2)'!C38</f>
        <v>11010</v>
      </c>
      <c r="D39" s="12" t="str">
        <f t="shared" si="15"/>
        <v>Akumulasi Penyusutan Peralatan Toko</v>
      </c>
      <c r="E39" s="12" t="str">
        <f t="shared" si="16"/>
        <v>Kr</v>
      </c>
      <c r="F39" s="27" t="str">
        <f t="shared" si="17"/>
        <v>Nrc</v>
      </c>
      <c r="G39" s="25">
        <f t="shared" si="18"/>
        <v>0</v>
      </c>
      <c r="H39" s="14">
        <f t="shared" si="19"/>
        <v>0</v>
      </c>
      <c r="I39" s="342">
        <f t="shared" ca="1" si="20"/>
        <v>0</v>
      </c>
      <c r="J39" s="343">
        <f ca="1">SUMIF(KBNS,C39,JK)</f>
        <v>0</v>
      </c>
      <c r="K39" s="15">
        <f t="shared" si="13"/>
        <v>0</v>
      </c>
      <c r="L39" s="326">
        <f t="shared" ca="1" si="14"/>
        <v>0</v>
      </c>
    </row>
    <row r="40" spans="2:12" ht="15" thickBot="1" x14ac:dyDescent="0.35">
      <c r="B40">
        <f t="shared" si="6"/>
        <v>1</v>
      </c>
      <c r="C40" s="340">
        <f>'Formula (2)'!C39</f>
        <v>11011</v>
      </c>
      <c r="D40" s="334" t="str">
        <f t="shared" si="15"/>
        <v xml:space="preserve">Tanah </v>
      </c>
      <c r="E40" s="334" t="str">
        <f t="shared" si="16"/>
        <v>Db</v>
      </c>
      <c r="F40" s="341" t="str">
        <f t="shared" si="17"/>
        <v>Nrc</v>
      </c>
      <c r="G40" s="25">
        <f t="shared" si="18"/>
        <v>0</v>
      </c>
      <c r="H40" s="14">
        <f t="shared" si="19"/>
        <v>0</v>
      </c>
      <c r="I40" s="344">
        <f t="shared" ca="1" si="20"/>
        <v>0</v>
      </c>
      <c r="J40" s="345">
        <f ca="1">SUMIF(KBNS,C40,JK)</f>
        <v>0</v>
      </c>
      <c r="K40" s="15">
        <f t="shared" ca="1" si="13"/>
        <v>0</v>
      </c>
      <c r="L40" s="326">
        <f t="shared" si="14"/>
        <v>0</v>
      </c>
    </row>
    <row r="41" spans="2:12" ht="15" hidden="1" thickBot="1" x14ac:dyDescent="0.35">
      <c r="B41">
        <f t="shared" si="6"/>
        <v>0</v>
      </c>
      <c r="C41" s="11">
        <f>'Formula (2)'!C40</f>
        <v>11012</v>
      </c>
      <c r="D41" s="12">
        <f t="shared" si="15"/>
        <v>0</v>
      </c>
      <c r="E41" s="12" t="str">
        <f t="shared" si="16"/>
        <v>Db</v>
      </c>
      <c r="F41" s="27" t="str">
        <f t="shared" si="17"/>
        <v>Nrc</v>
      </c>
      <c r="G41" s="25">
        <f t="shared" si="18"/>
        <v>0</v>
      </c>
      <c r="H41" s="14">
        <f t="shared" si="19"/>
        <v>0</v>
      </c>
      <c r="I41" s="16">
        <f t="shared" ca="1" si="20"/>
        <v>0</v>
      </c>
      <c r="J41" s="16">
        <f ca="1">SUMIF(KBNS,C41,JK)</f>
        <v>0</v>
      </c>
      <c r="K41" s="15">
        <f t="shared" ca="1" si="13"/>
        <v>0</v>
      </c>
      <c r="L41" s="326">
        <f t="shared" si="14"/>
        <v>0</v>
      </c>
    </row>
    <row r="42" spans="2:12" ht="15" hidden="1" thickBot="1" x14ac:dyDescent="0.35">
      <c r="B42">
        <f t="shared" si="6"/>
        <v>0</v>
      </c>
      <c r="C42" s="11">
        <f>'Formula (2)'!C41</f>
        <v>11013</v>
      </c>
      <c r="D42" s="12">
        <f t="shared" si="15"/>
        <v>0</v>
      </c>
      <c r="E42" s="12" t="str">
        <f t="shared" si="16"/>
        <v>Db</v>
      </c>
      <c r="F42" s="27" t="str">
        <f t="shared" si="17"/>
        <v>Nrc</v>
      </c>
      <c r="G42" s="25">
        <f t="shared" si="18"/>
        <v>0</v>
      </c>
      <c r="H42" s="14">
        <f t="shared" si="19"/>
        <v>0</v>
      </c>
      <c r="I42" s="16">
        <f t="shared" ca="1" si="20"/>
        <v>0</v>
      </c>
      <c r="J42" s="16">
        <f ca="1">SUMIF(KBNS,C42,JK)</f>
        <v>0</v>
      </c>
      <c r="K42" s="15">
        <f t="shared" ca="1" si="13"/>
        <v>0</v>
      </c>
      <c r="L42" s="326">
        <f t="shared" si="14"/>
        <v>0</v>
      </c>
    </row>
    <row r="43" spans="2:12" ht="15" hidden="1" thickBot="1" x14ac:dyDescent="0.35">
      <c r="B43">
        <f t="shared" si="6"/>
        <v>0</v>
      </c>
      <c r="C43" s="11">
        <f>'Formula (2)'!C42</f>
        <v>11014</v>
      </c>
      <c r="D43" s="12">
        <f t="shared" si="15"/>
        <v>0</v>
      </c>
      <c r="E43" s="12" t="str">
        <f t="shared" si="16"/>
        <v>Db</v>
      </c>
      <c r="F43" s="27" t="str">
        <f t="shared" si="17"/>
        <v>Nrc</v>
      </c>
      <c r="G43" s="25">
        <f t="shared" si="18"/>
        <v>0</v>
      </c>
      <c r="H43" s="14">
        <f t="shared" si="19"/>
        <v>0</v>
      </c>
      <c r="I43" s="16">
        <f t="shared" ca="1" si="20"/>
        <v>0</v>
      </c>
      <c r="J43" s="16">
        <f ca="1">SUMIF(KBNS,C43,JK)</f>
        <v>0</v>
      </c>
      <c r="K43" s="15">
        <f t="shared" ca="1" si="13"/>
        <v>0</v>
      </c>
      <c r="L43" s="326">
        <f t="shared" si="14"/>
        <v>0</v>
      </c>
    </row>
    <row r="44" spans="2:12" ht="15" hidden="1" thickBot="1" x14ac:dyDescent="0.35">
      <c r="B44">
        <f t="shared" si="6"/>
        <v>0</v>
      </c>
      <c r="C44" s="11">
        <f>'Formula (2)'!C43</f>
        <v>11015</v>
      </c>
      <c r="D44" s="12">
        <f t="shared" si="15"/>
        <v>0</v>
      </c>
      <c r="E44" s="12" t="str">
        <f t="shared" si="16"/>
        <v>Db</v>
      </c>
      <c r="F44" s="27" t="str">
        <f t="shared" si="17"/>
        <v>Nrc</v>
      </c>
      <c r="G44" s="25">
        <f t="shared" si="18"/>
        <v>0</v>
      </c>
      <c r="H44" s="14">
        <f t="shared" si="19"/>
        <v>0</v>
      </c>
      <c r="I44" s="16">
        <f t="shared" ca="1" si="20"/>
        <v>0</v>
      </c>
      <c r="J44" s="16">
        <f ca="1">SUMIF(KBNS,C44,JK)</f>
        <v>0</v>
      </c>
      <c r="K44" s="15">
        <f t="shared" ca="1" si="13"/>
        <v>0</v>
      </c>
      <c r="L44" s="326">
        <f t="shared" si="14"/>
        <v>0</v>
      </c>
    </row>
    <row r="45" spans="2:12" ht="15" hidden="1" thickBot="1" x14ac:dyDescent="0.35">
      <c r="B45">
        <f t="shared" si="6"/>
        <v>0</v>
      </c>
      <c r="C45" s="11">
        <f>'Formula (2)'!C44</f>
        <v>11016</v>
      </c>
      <c r="D45" s="12">
        <f t="shared" si="15"/>
        <v>0</v>
      </c>
      <c r="E45" s="12" t="str">
        <f t="shared" si="16"/>
        <v>Db</v>
      </c>
      <c r="F45" s="27" t="str">
        <f t="shared" si="17"/>
        <v>Nrc</v>
      </c>
      <c r="G45" s="25">
        <f t="shared" si="18"/>
        <v>0</v>
      </c>
      <c r="H45" s="14">
        <f t="shared" si="19"/>
        <v>0</v>
      </c>
      <c r="I45" s="16">
        <f t="shared" ca="1" si="20"/>
        <v>0</v>
      </c>
      <c r="J45" s="16">
        <f ca="1">SUMIF(KBNS,C45,JK)</f>
        <v>0</v>
      </c>
      <c r="K45" s="15">
        <f t="shared" ca="1" si="13"/>
        <v>0</v>
      </c>
      <c r="L45" s="326">
        <f t="shared" si="14"/>
        <v>0</v>
      </c>
    </row>
    <row r="46" spans="2:12" ht="15" hidden="1" thickBot="1" x14ac:dyDescent="0.35">
      <c r="B46">
        <f t="shared" si="6"/>
        <v>0</v>
      </c>
      <c r="C46" s="11">
        <f>'Formula (2)'!C45</f>
        <v>11017</v>
      </c>
      <c r="D46" s="12">
        <f t="shared" si="15"/>
        <v>0</v>
      </c>
      <c r="E46" s="12" t="str">
        <f t="shared" si="16"/>
        <v>Db</v>
      </c>
      <c r="F46" s="27" t="str">
        <f t="shared" si="17"/>
        <v>Nrc</v>
      </c>
      <c r="G46" s="25">
        <f t="shared" si="18"/>
        <v>0</v>
      </c>
      <c r="H46" s="14">
        <f t="shared" si="19"/>
        <v>0</v>
      </c>
      <c r="I46" s="16">
        <f t="shared" ca="1" si="20"/>
        <v>0</v>
      </c>
      <c r="J46" s="16">
        <f ca="1">SUMIF(KBNS,C46,JK)</f>
        <v>0</v>
      </c>
      <c r="K46" s="15">
        <f t="shared" ca="1" si="13"/>
        <v>0</v>
      </c>
      <c r="L46" s="326">
        <f t="shared" si="14"/>
        <v>0</v>
      </c>
    </row>
    <row r="47" spans="2:12" ht="15" hidden="1" thickBot="1" x14ac:dyDescent="0.35">
      <c r="B47">
        <f t="shared" si="6"/>
        <v>0</v>
      </c>
      <c r="C47" s="11">
        <f>'Formula (2)'!C46</f>
        <v>11018</v>
      </c>
      <c r="D47" s="12">
        <f t="shared" si="15"/>
        <v>0</v>
      </c>
      <c r="E47" s="12" t="str">
        <f t="shared" si="16"/>
        <v>Db</v>
      </c>
      <c r="F47" s="27" t="str">
        <f t="shared" si="17"/>
        <v>Nrc</v>
      </c>
      <c r="G47" s="25">
        <f t="shared" si="18"/>
        <v>0</v>
      </c>
      <c r="H47" s="14">
        <f t="shared" si="19"/>
        <v>0</v>
      </c>
      <c r="I47" s="16">
        <f t="shared" ca="1" si="20"/>
        <v>0</v>
      </c>
      <c r="J47" s="16">
        <f ca="1">SUMIF(KBNS,C47,JK)</f>
        <v>0</v>
      </c>
      <c r="K47" s="15">
        <f t="shared" ca="1" si="13"/>
        <v>0</v>
      </c>
      <c r="L47" s="326">
        <f t="shared" si="14"/>
        <v>0</v>
      </c>
    </row>
    <row r="48" spans="2:12" ht="15" hidden="1" thickBot="1" x14ac:dyDescent="0.35">
      <c r="B48">
        <f t="shared" si="6"/>
        <v>0</v>
      </c>
      <c r="C48" s="11">
        <f>'Formula (2)'!C47</f>
        <v>11019</v>
      </c>
      <c r="D48" s="12">
        <f t="shared" si="15"/>
        <v>0</v>
      </c>
      <c r="E48" s="12" t="str">
        <f t="shared" si="16"/>
        <v>Db</v>
      </c>
      <c r="F48" s="27" t="str">
        <f t="shared" si="17"/>
        <v>Nrc</v>
      </c>
      <c r="G48" s="25">
        <f t="shared" si="18"/>
        <v>0</v>
      </c>
      <c r="H48" s="14">
        <f t="shared" si="19"/>
        <v>0</v>
      </c>
      <c r="I48" s="16">
        <f t="shared" ca="1" si="20"/>
        <v>0</v>
      </c>
      <c r="J48" s="16">
        <f ca="1">SUMIF(KBNS,C48,JK)</f>
        <v>0</v>
      </c>
      <c r="K48" s="15">
        <f t="shared" ca="1" si="13"/>
        <v>0</v>
      </c>
      <c r="L48" s="326">
        <f t="shared" si="14"/>
        <v>0</v>
      </c>
    </row>
    <row r="49" spans="2:13" ht="15" hidden="1" thickBot="1" x14ac:dyDescent="0.35">
      <c r="B49">
        <f t="shared" si="6"/>
        <v>0</v>
      </c>
      <c r="C49" s="329">
        <f>'Formula (2)'!C48</f>
        <v>11020</v>
      </c>
      <c r="D49" s="30">
        <f t="shared" si="15"/>
        <v>0</v>
      </c>
      <c r="E49" s="30" t="str">
        <f t="shared" si="16"/>
        <v>Db</v>
      </c>
      <c r="F49" s="330" t="str">
        <f t="shared" si="17"/>
        <v>Nrc</v>
      </c>
      <c r="G49" s="25">
        <f t="shared" si="18"/>
        <v>0</v>
      </c>
      <c r="H49" s="14">
        <f t="shared" si="19"/>
        <v>0</v>
      </c>
      <c r="I49" s="339">
        <f t="shared" ca="1" si="20"/>
        <v>0</v>
      </c>
      <c r="J49" s="339">
        <f ca="1">SUMIF(KBNS,C49,JK)</f>
        <v>0</v>
      </c>
      <c r="K49" s="15">
        <f t="shared" ca="1" si="13"/>
        <v>0</v>
      </c>
      <c r="L49" s="326">
        <f t="shared" si="14"/>
        <v>0</v>
      </c>
      <c r="M49" s="328"/>
    </row>
    <row r="50" spans="2:13" x14ac:dyDescent="0.3">
      <c r="B50">
        <f t="shared" si="6"/>
        <v>1</v>
      </c>
      <c r="C50" s="349">
        <f>'Formula (2)'!C49</f>
        <v>20000</v>
      </c>
      <c r="D50" s="350" t="str">
        <f t="shared" si="15"/>
        <v>Utang/liability</v>
      </c>
      <c r="E50" s="350" t="str">
        <f t="shared" si="16"/>
        <v>Db</v>
      </c>
      <c r="F50" s="351" t="str">
        <f t="shared" si="17"/>
        <v>Nrc</v>
      </c>
      <c r="G50" s="25">
        <f t="shared" si="18"/>
        <v>0</v>
      </c>
      <c r="H50" s="14">
        <f t="shared" si="19"/>
        <v>0</v>
      </c>
      <c r="I50" s="352">
        <f t="shared" ca="1" si="20"/>
        <v>0</v>
      </c>
      <c r="J50" s="353">
        <f ca="1">SUMIF(KBNS,C50,JK)</f>
        <v>0</v>
      </c>
      <c r="K50" s="15">
        <f t="shared" ca="1" si="13"/>
        <v>0</v>
      </c>
      <c r="L50" s="326">
        <f t="shared" si="14"/>
        <v>0</v>
      </c>
    </row>
    <row r="51" spans="2:13" x14ac:dyDescent="0.3">
      <c r="B51">
        <f t="shared" si="6"/>
        <v>1</v>
      </c>
      <c r="C51" s="11">
        <f>'Formula (2)'!C50</f>
        <v>20001</v>
      </c>
      <c r="D51" s="12" t="str">
        <f t="shared" si="15"/>
        <v>Utang Usaha/Dagang</v>
      </c>
      <c r="E51" s="12" t="str">
        <f t="shared" si="16"/>
        <v>Db</v>
      </c>
      <c r="F51" s="27" t="str">
        <f t="shared" si="17"/>
        <v>Nrc</v>
      </c>
      <c r="G51" s="25">
        <f t="shared" si="18"/>
        <v>0</v>
      </c>
      <c r="H51" s="14">
        <f t="shared" si="19"/>
        <v>0</v>
      </c>
      <c r="I51" s="342">
        <f t="shared" ca="1" si="20"/>
        <v>0</v>
      </c>
      <c r="J51" s="343">
        <f ca="1">SUMIF(KBNS,C51,JK)</f>
        <v>0</v>
      </c>
      <c r="K51" s="15">
        <f t="shared" ca="1" si="13"/>
        <v>0</v>
      </c>
      <c r="L51" s="326">
        <f t="shared" si="14"/>
        <v>0</v>
      </c>
    </row>
    <row r="52" spans="2:13" x14ac:dyDescent="0.3">
      <c r="B52">
        <f t="shared" si="6"/>
        <v>1</v>
      </c>
      <c r="C52" s="11">
        <f>'Formula (2)'!C51</f>
        <v>20002</v>
      </c>
      <c r="D52" s="12" t="str">
        <f t="shared" si="15"/>
        <v>Utang Wesel</v>
      </c>
      <c r="E52" s="12" t="str">
        <f t="shared" si="16"/>
        <v>Db</v>
      </c>
      <c r="F52" s="27" t="str">
        <f t="shared" si="17"/>
        <v>Nrc</v>
      </c>
      <c r="G52" s="25">
        <f t="shared" si="18"/>
        <v>0</v>
      </c>
      <c r="H52" s="14">
        <f t="shared" si="19"/>
        <v>0</v>
      </c>
      <c r="I52" s="342">
        <f t="shared" ca="1" si="20"/>
        <v>0</v>
      </c>
      <c r="J52" s="343">
        <f ca="1">SUMIF(KBNS,C52,JK)</f>
        <v>0</v>
      </c>
      <c r="K52" s="15">
        <f t="shared" ca="1" si="13"/>
        <v>0</v>
      </c>
      <c r="L52" s="326">
        <f t="shared" si="14"/>
        <v>0</v>
      </c>
    </row>
    <row r="53" spans="2:13" x14ac:dyDescent="0.3">
      <c r="B53">
        <f t="shared" si="6"/>
        <v>1</v>
      </c>
      <c r="C53" s="11">
        <f>'Formula (2)'!C52</f>
        <v>20003</v>
      </c>
      <c r="D53" s="12" t="str">
        <f t="shared" si="15"/>
        <v>Utang Gaji</v>
      </c>
      <c r="E53" s="12" t="str">
        <f t="shared" si="16"/>
        <v>Db</v>
      </c>
      <c r="F53" s="27" t="str">
        <f t="shared" si="17"/>
        <v>Nrc</v>
      </c>
      <c r="G53" s="25">
        <f t="shared" si="18"/>
        <v>0</v>
      </c>
      <c r="H53" s="14">
        <f t="shared" si="19"/>
        <v>0</v>
      </c>
      <c r="I53" s="342">
        <f t="shared" ca="1" si="20"/>
        <v>0</v>
      </c>
      <c r="J53" s="343">
        <f ca="1">SUMIF(KBNS,C53,JK)</f>
        <v>0</v>
      </c>
      <c r="K53" s="15">
        <f t="shared" ca="1" si="13"/>
        <v>0</v>
      </c>
      <c r="L53" s="326">
        <f t="shared" si="14"/>
        <v>0</v>
      </c>
    </row>
    <row r="54" spans="2:13" x14ac:dyDescent="0.3">
      <c r="B54">
        <f t="shared" si="6"/>
        <v>1</v>
      </c>
      <c r="C54" s="11">
        <f>'Formula (2)'!C53</f>
        <v>20004</v>
      </c>
      <c r="D54" s="12" t="str">
        <f t="shared" si="15"/>
        <v>Utang Pajak Penghasilan</v>
      </c>
      <c r="E54" s="12" t="str">
        <f t="shared" si="16"/>
        <v>Db</v>
      </c>
      <c r="F54" s="27" t="str">
        <f t="shared" si="17"/>
        <v>Nrc</v>
      </c>
      <c r="G54" s="25">
        <f t="shared" si="18"/>
        <v>0</v>
      </c>
      <c r="H54" s="14">
        <f t="shared" si="19"/>
        <v>0</v>
      </c>
      <c r="I54" s="342">
        <f t="shared" ca="1" si="20"/>
        <v>0</v>
      </c>
      <c r="J54" s="343">
        <f ca="1">SUMIF(KBNS,C54,JK)</f>
        <v>0</v>
      </c>
      <c r="K54" s="15">
        <f t="shared" ca="1" si="13"/>
        <v>0</v>
      </c>
      <c r="L54" s="326">
        <f t="shared" si="14"/>
        <v>0</v>
      </c>
    </row>
    <row r="55" spans="2:13" x14ac:dyDescent="0.3">
      <c r="B55">
        <f t="shared" si="6"/>
        <v>1</v>
      </c>
      <c r="C55" s="11">
        <f>'Formula (2)'!C54</f>
        <v>20005</v>
      </c>
      <c r="D55" s="12" t="str">
        <f t="shared" si="15"/>
        <v>Utang Hipotek</v>
      </c>
      <c r="E55" s="12" t="str">
        <f t="shared" si="16"/>
        <v>Db</v>
      </c>
      <c r="F55" s="27" t="str">
        <f t="shared" si="17"/>
        <v>Nrc</v>
      </c>
      <c r="G55" s="25">
        <f t="shared" si="18"/>
        <v>0</v>
      </c>
      <c r="H55" s="14">
        <f t="shared" si="19"/>
        <v>0</v>
      </c>
      <c r="I55" s="342">
        <f t="shared" ca="1" si="20"/>
        <v>0</v>
      </c>
      <c r="J55" s="343">
        <f ca="1">SUMIF(KBNS,C55,JK)</f>
        <v>0</v>
      </c>
      <c r="K55" s="15">
        <f t="shared" ca="1" si="13"/>
        <v>0</v>
      </c>
      <c r="L55" s="326">
        <f t="shared" si="14"/>
        <v>0</v>
      </c>
    </row>
    <row r="56" spans="2:13" x14ac:dyDescent="0.3">
      <c r="B56">
        <f t="shared" si="6"/>
        <v>1</v>
      </c>
      <c r="C56" s="11">
        <f>'Formula (2)'!C55</f>
        <v>20006</v>
      </c>
      <c r="D56" s="12" t="str">
        <f t="shared" si="15"/>
        <v>Utang Obligasi</v>
      </c>
      <c r="E56" s="12" t="str">
        <f t="shared" si="16"/>
        <v>Db</v>
      </c>
      <c r="F56" s="27" t="str">
        <f t="shared" si="17"/>
        <v>Nrc</v>
      </c>
      <c r="G56" s="25">
        <f t="shared" si="18"/>
        <v>0</v>
      </c>
      <c r="H56" s="14">
        <f t="shared" si="19"/>
        <v>0</v>
      </c>
      <c r="I56" s="342">
        <f t="shared" ca="1" si="20"/>
        <v>0</v>
      </c>
      <c r="J56" s="343">
        <f ca="1">SUMIF(KBNS,C56,JK)</f>
        <v>0</v>
      </c>
      <c r="K56" s="15">
        <f t="shared" ca="1" si="13"/>
        <v>0</v>
      </c>
      <c r="L56" s="326">
        <f t="shared" si="14"/>
        <v>0</v>
      </c>
    </row>
    <row r="57" spans="2:13" x14ac:dyDescent="0.3">
      <c r="B57">
        <f t="shared" si="6"/>
        <v>1</v>
      </c>
      <c r="C57" s="11">
        <f>'Formula (2)'!C56</f>
        <v>20007</v>
      </c>
      <c r="D57" s="12" t="str">
        <f t="shared" si="15"/>
        <v>Pendapatan Diterima Dimuka</v>
      </c>
      <c r="E57" s="12" t="str">
        <f t="shared" si="16"/>
        <v>Db</v>
      </c>
      <c r="F57" s="27" t="str">
        <f t="shared" si="17"/>
        <v>Nrc</v>
      </c>
      <c r="G57" s="25">
        <f t="shared" si="18"/>
        <v>0</v>
      </c>
      <c r="H57" s="14">
        <f t="shared" si="19"/>
        <v>0</v>
      </c>
      <c r="I57" s="342">
        <f t="shared" ca="1" si="20"/>
        <v>0</v>
      </c>
      <c r="J57" s="343">
        <f ca="1">SUMIF(KBNS,C57,JK)</f>
        <v>0</v>
      </c>
      <c r="K57" s="15">
        <f t="shared" ca="1" si="13"/>
        <v>0</v>
      </c>
      <c r="L57" s="326">
        <f t="shared" si="14"/>
        <v>0</v>
      </c>
    </row>
    <row r="58" spans="2:13" ht="15" thickBot="1" x14ac:dyDescent="0.35">
      <c r="B58">
        <f t="shared" si="6"/>
        <v>1</v>
      </c>
      <c r="C58" s="340">
        <f>'Formula (2)'!C57</f>
        <v>20008</v>
      </c>
      <c r="D58" s="334" t="str">
        <f t="shared" si="15"/>
        <v>Utang Utilitas</v>
      </c>
      <c r="E58" s="334" t="str">
        <f t="shared" si="16"/>
        <v>Db</v>
      </c>
      <c r="F58" s="341" t="str">
        <f t="shared" si="17"/>
        <v>Nrc</v>
      </c>
      <c r="G58" s="25">
        <f t="shared" si="18"/>
        <v>0</v>
      </c>
      <c r="H58" s="14">
        <f t="shared" si="19"/>
        <v>0</v>
      </c>
      <c r="I58" s="344">
        <f t="shared" ca="1" si="20"/>
        <v>0</v>
      </c>
      <c r="J58" s="345">
        <f ca="1">SUMIF(KBNS,C58,JK)</f>
        <v>0</v>
      </c>
      <c r="K58" s="15">
        <f t="shared" ca="1" si="13"/>
        <v>0</v>
      </c>
      <c r="L58" s="326">
        <f t="shared" si="14"/>
        <v>0</v>
      </c>
    </row>
    <row r="59" spans="2:13" ht="15" hidden="1" thickBot="1" x14ac:dyDescent="0.35">
      <c r="B59">
        <f t="shared" si="6"/>
        <v>0</v>
      </c>
      <c r="C59" s="11">
        <f>'Formula (2)'!C58</f>
        <v>20009</v>
      </c>
      <c r="D59" s="12">
        <f t="shared" si="15"/>
        <v>0</v>
      </c>
      <c r="E59" s="12" t="str">
        <f t="shared" si="16"/>
        <v>Db</v>
      </c>
      <c r="F59" s="27" t="str">
        <f t="shared" si="17"/>
        <v>Nrc</v>
      </c>
      <c r="G59" s="25">
        <f t="shared" si="18"/>
        <v>0</v>
      </c>
      <c r="H59" s="14">
        <f t="shared" si="19"/>
        <v>0</v>
      </c>
      <c r="I59" s="16">
        <f t="shared" ca="1" si="20"/>
        <v>0</v>
      </c>
      <c r="J59" s="16">
        <f ca="1">SUMIF(KBNS,C59,JK)</f>
        <v>0</v>
      </c>
      <c r="K59" s="15">
        <f t="shared" ca="1" si="13"/>
        <v>0</v>
      </c>
      <c r="L59" s="326">
        <f t="shared" si="14"/>
        <v>0</v>
      </c>
    </row>
    <row r="60" spans="2:13" ht="15" hidden="1" thickBot="1" x14ac:dyDescent="0.35">
      <c r="B60">
        <f t="shared" si="6"/>
        <v>0</v>
      </c>
      <c r="C60" s="11">
        <f>'Formula (2)'!C59</f>
        <v>20010</v>
      </c>
      <c r="D60" s="12">
        <f t="shared" si="15"/>
        <v>0</v>
      </c>
      <c r="E60" s="12" t="str">
        <f t="shared" si="16"/>
        <v>Db</v>
      </c>
      <c r="F60" s="27" t="str">
        <f t="shared" si="17"/>
        <v>Nrc</v>
      </c>
      <c r="G60" s="25">
        <f t="shared" si="18"/>
        <v>0</v>
      </c>
      <c r="H60" s="14">
        <f t="shared" si="19"/>
        <v>0</v>
      </c>
      <c r="I60" s="16">
        <f t="shared" ca="1" si="20"/>
        <v>0</v>
      </c>
      <c r="J60" s="16">
        <f ca="1">SUMIF(KBNS,C60,JK)</f>
        <v>0</v>
      </c>
      <c r="K60" s="15">
        <f t="shared" ca="1" si="13"/>
        <v>0</v>
      </c>
      <c r="L60" s="326">
        <f t="shared" si="14"/>
        <v>0</v>
      </c>
    </row>
    <row r="61" spans="2:13" ht="15" hidden="1" thickBot="1" x14ac:dyDescent="0.35">
      <c r="B61">
        <f t="shared" si="6"/>
        <v>0</v>
      </c>
      <c r="C61" s="11">
        <f>'Formula (2)'!C60</f>
        <v>20011</v>
      </c>
      <c r="D61" s="12">
        <f t="shared" si="15"/>
        <v>0</v>
      </c>
      <c r="E61" s="12" t="str">
        <f t="shared" si="16"/>
        <v>Db</v>
      </c>
      <c r="F61" s="27" t="str">
        <f t="shared" si="17"/>
        <v>Nrc</v>
      </c>
      <c r="G61" s="25">
        <f t="shared" si="18"/>
        <v>0</v>
      </c>
      <c r="H61" s="14">
        <f t="shared" si="19"/>
        <v>0</v>
      </c>
      <c r="I61" s="16">
        <f t="shared" ca="1" si="20"/>
        <v>0</v>
      </c>
      <c r="J61" s="16">
        <f ca="1">SUMIF(KBNS,C61,JK)</f>
        <v>0</v>
      </c>
      <c r="K61" s="15">
        <f t="shared" ca="1" si="13"/>
        <v>0</v>
      </c>
      <c r="L61" s="326">
        <f t="shared" si="14"/>
        <v>0</v>
      </c>
    </row>
    <row r="62" spans="2:13" ht="15" hidden="1" thickBot="1" x14ac:dyDescent="0.35">
      <c r="B62">
        <f t="shared" si="6"/>
        <v>0</v>
      </c>
      <c r="C62" s="11">
        <f>'Formula (2)'!C61</f>
        <v>20012</v>
      </c>
      <c r="D62" s="12">
        <f t="shared" si="15"/>
        <v>0</v>
      </c>
      <c r="E62" s="12" t="str">
        <f t="shared" si="16"/>
        <v>Db</v>
      </c>
      <c r="F62" s="27" t="str">
        <f t="shared" si="17"/>
        <v>Nrc</v>
      </c>
      <c r="G62" s="25">
        <f t="shared" si="18"/>
        <v>0</v>
      </c>
      <c r="H62" s="14">
        <f t="shared" si="19"/>
        <v>0</v>
      </c>
      <c r="I62" s="16">
        <f t="shared" ca="1" si="20"/>
        <v>0</v>
      </c>
      <c r="J62" s="16">
        <f ca="1">SUMIF(KBNS,C62,JK)</f>
        <v>0</v>
      </c>
      <c r="K62" s="15">
        <f t="shared" ca="1" si="13"/>
        <v>0</v>
      </c>
      <c r="L62" s="326">
        <f t="shared" si="14"/>
        <v>0</v>
      </c>
    </row>
    <row r="63" spans="2:13" ht="15" hidden="1" thickBot="1" x14ac:dyDescent="0.35">
      <c r="B63">
        <f t="shared" si="6"/>
        <v>0</v>
      </c>
      <c r="C63" s="11">
        <f>'Formula (2)'!C62</f>
        <v>20013</v>
      </c>
      <c r="D63" s="12">
        <f t="shared" si="15"/>
        <v>0</v>
      </c>
      <c r="E63" s="12" t="str">
        <f t="shared" si="16"/>
        <v>Db</v>
      </c>
      <c r="F63" s="27" t="str">
        <f t="shared" si="17"/>
        <v>Nrc</v>
      </c>
      <c r="G63" s="25">
        <f t="shared" si="18"/>
        <v>0</v>
      </c>
      <c r="H63" s="14">
        <f t="shared" si="19"/>
        <v>0</v>
      </c>
      <c r="I63" s="16">
        <f t="shared" ca="1" si="20"/>
        <v>0</v>
      </c>
      <c r="J63" s="16">
        <f ca="1">SUMIF(KBNS,C63,JK)</f>
        <v>0</v>
      </c>
      <c r="K63" s="15">
        <f t="shared" ca="1" si="13"/>
        <v>0</v>
      </c>
      <c r="L63" s="326">
        <f t="shared" si="14"/>
        <v>0</v>
      </c>
    </row>
    <row r="64" spans="2:13" ht="15" hidden="1" thickBot="1" x14ac:dyDescent="0.35">
      <c r="B64">
        <f t="shared" si="6"/>
        <v>0</v>
      </c>
      <c r="C64" s="11">
        <f>'Formula (2)'!C63</f>
        <v>20014</v>
      </c>
      <c r="D64" s="12">
        <f t="shared" si="15"/>
        <v>0</v>
      </c>
      <c r="E64" s="12" t="str">
        <f t="shared" si="16"/>
        <v>Db</v>
      </c>
      <c r="F64" s="27" t="str">
        <f t="shared" si="17"/>
        <v>Nrc</v>
      </c>
      <c r="G64" s="25">
        <f t="shared" si="18"/>
        <v>0</v>
      </c>
      <c r="H64" s="14">
        <f t="shared" si="19"/>
        <v>0</v>
      </c>
      <c r="I64" s="16">
        <f t="shared" ca="1" si="20"/>
        <v>0</v>
      </c>
      <c r="J64" s="16">
        <f ca="1">SUMIF(KBNS,C64,JK)</f>
        <v>0</v>
      </c>
      <c r="K64" s="15">
        <f t="shared" ca="1" si="13"/>
        <v>0</v>
      </c>
      <c r="L64" s="326">
        <f t="shared" si="14"/>
        <v>0</v>
      </c>
    </row>
    <row r="65" spans="2:12" ht="15" hidden="1" thickBot="1" x14ac:dyDescent="0.35">
      <c r="B65">
        <f t="shared" si="6"/>
        <v>0</v>
      </c>
      <c r="C65" s="11">
        <f>'Formula (2)'!C64</f>
        <v>20015</v>
      </c>
      <c r="D65" s="12">
        <f t="shared" si="15"/>
        <v>0</v>
      </c>
      <c r="E65" s="12" t="str">
        <f t="shared" si="16"/>
        <v>Db</v>
      </c>
      <c r="F65" s="27" t="str">
        <f t="shared" si="17"/>
        <v>Nrc</v>
      </c>
      <c r="G65" s="25">
        <f t="shared" si="18"/>
        <v>0</v>
      </c>
      <c r="H65" s="14">
        <f t="shared" si="19"/>
        <v>0</v>
      </c>
      <c r="I65" s="16">
        <f t="shared" ca="1" si="20"/>
        <v>0</v>
      </c>
      <c r="J65" s="16">
        <f ca="1">SUMIF(KBNS,C65,JK)</f>
        <v>0</v>
      </c>
      <c r="K65" s="15">
        <f t="shared" ca="1" si="13"/>
        <v>0</v>
      </c>
      <c r="L65" s="326">
        <f t="shared" si="14"/>
        <v>0</v>
      </c>
    </row>
    <row r="66" spans="2:12" ht="15" hidden="1" thickBot="1" x14ac:dyDescent="0.35">
      <c r="B66">
        <f t="shared" si="6"/>
        <v>0</v>
      </c>
      <c r="C66" s="11">
        <f>'Formula (2)'!C65</f>
        <v>20016</v>
      </c>
      <c r="D66" s="12">
        <f t="shared" si="15"/>
        <v>0</v>
      </c>
      <c r="E66" s="12" t="str">
        <f t="shared" si="16"/>
        <v>Db</v>
      </c>
      <c r="F66" s="27" t="str">
        <f t="shared" si="17"/>
        <v>Nrc</v>
      </c>
      <c r="G66" s="25">
        <f t="shared" si="18"/>
        <v>0</v>
      </c>
      <c r="H66" s="14">
        <f t="shared" si="19"/>
        <v>0</v>
      </c>
      <c r="I66" s="16">
        <f t="shared" ca="1" si="20"/>
        <v>0</v>
      </c>
      <c r="J66" s="16">
        <f ca="1">SUMIF(KBNS,C66,JK)</f>
        <v>0</v>
      </c>
      <c r="K66" s="15">
        <f t="shared" ca="1" si="13"/>
        <v>0</v>
      </c>
      <c r="L66" s="326">
        <f t="shared" si="14"/>
        <v>0</v>
      </c>
    </row>
    <row r="67" spans="2:12" ht="15" hidden="1" thickBot="1" x14ac:dyDescent="0.35">
      <c r="B67">
        <f t="shared" si="6"/>
        <v>0</v>
      </c>
      <c r="C67" s="11">
        <f>'Formula (2)'!C66</f>
        <v>20017</v>
      </c>
      <c r="D67" s="12">
        <f t="shared" si="15"/>
        <v>0</v>
      </c>
      <c r="E67" s="12" t="str">
        <f t="shared" si="16"/>
        <v>Db</v>
      </c>
      <c r="F67" s="27" t="str">
        <f t="shared" si="17"/>
        <v>Nrc</v>
      </c>
      <c r="G67" s="25">
        <f t="shared" si="18"/>
        <v>0</v>
      </c>
      <c r="H67" s="14">
        <f t="shared" si="19"/>
        <v>0</v>
      </c>
      <c r="I67" s="16">
        <f t="shared" ca="1" si="20"/>
        <v>0</v>
      </c>
      <c r="J67" s="16">
        <f ca="1">SUMIF(KBNS,C67,JK)</f>
        <v>0</v>
      </c>
      <c r="K67" s="15">
        <f t="shared" ca="1" si="13"/>
        <v>0</v>
      </c>
      <c r="L67" s="326">
        <f t="shared" si="14"/>
        <v>0</v>
      </c>
    </row>
    <row r="68" spans="2:12" ht="15" hidden="1" thickBot="1" x14ac:dyDescent="0.35">
      <c r="B68">
        <f t="shared" si="6"/>
        <v>0</v>
      </c>
      <c r="C68" s="11">
        <f>'Formula (2)'!C67</f>
        <v>20018</v>
      </c>
      <c r="D68" s="12">
        <f t="shared" si="15"/>
        <v>0</v>
      </c>
      <c r="E68" s="12" t="str">
        <f t="shared" si="16"/>
        <v>Db</v>
      </c>
      <c r="F68" s="27" t="str">
        <f t="shared" si="17"/>
        <v>Nrc</v>
      </c>
      <c r="G68" s="25">
        <f t="shared" si="18"/>
        <v>0</v>
      </c>
      <c r="H68" s="14">
        <f t="shared" si="19"/>
        <v>0</v>
      </c>
      <c r="I68" s="16">
        <f t="shared" ca="1" si="20"/>
        <v>0</v>
      </c>
      <c r="J68" s="16">
        <f ca="1">SUMIF(KBNS,C68,JK)</f>
        <v>0</v>
      </c>
      <c r="K68" s="15">
        <f t="shared" ca="1" si="13"/>
        <v>0</v>
      </c>
      <c r="L68" s="326">
        <f t="shared" si="14"/>
        <v>0</v>
      </c>
    </row>
    <row r="69" spans="2:12" ht="15" hidden="1" thickBot="1" x14ac:dyDescent="0.35">
      <c r="B69">
        <f t="shared" si="6"/>
        <v>0</v>
      </c>
      <c r="C69" s="11">
        <f>'Formula (2)'!C68</f>
        <v>20019</v>
      </c>
      <c r="D69" s="12">
        <f t="shared" si="15"/>
        <v>0</v>
      </c>
      <c r="E69" s="12" t="str">
        <f t="shared" si="16"/>
        <v>Db</v>
      </c>
      <c r="F69" s="27" t="str">
        <f t="shared" si="17"/>
        <v>Nrc</v>
      </c>
      <c r="G69" s="25">
        <f t="shared" si="18"/>
        <v>0</v>
      </c>
      <c r="H69" s="14">
        <f t="shared" si="19"/>
        <v>0</v>
      </c>
      <c r="I69" s="16">
        <f t="shared" ca="1" si="20"/>
        <v>0</v>
      </c>
      <c r="J69" s="16">
        <f ca="1">SUMIF(KBNS,C69,JK)</f>
        <v>0</v>
      </c>
      <c r="K69" s="15">
        <f t="shared" ca="1" si="13"/>
        <v>0</v>
      </c>
      <c r="L69" s="326">
        <f t="shared" si="14"/>
        <v>0</v>
      </c>
    </row>
    <row r="70" spans="2:12" ht="15" hidden="1" thickBot="1" x14ac:dyDescent="0.35">
      <c r="B70">
        <f t="shared" si="6"/>
        <v>0</v>
      </c>
      <c r="C70" s="329">
        <f>'Formula (2)'!C69</f>
        <v>20020</v>
      </c>
      <c r="D70" s="30">
        <f t="shared" si="15"/>
        <v>0</v>
      </c>
      <c r="E70" s="30" t="str">
        <f t="shared" si="16"/>
        <v>Db</v>
      </c>
      <c r="F70" s="330" t="str">
        <f t="shared" si="17"/>
        <v>Nrc</v>
      </c>
      <c r="G70" s="25">
        <f t="shared" si="18"/>
        <v>0</v>
      </c>
      <c r="H70" s="14">
        <f t="shared" si="19"/>
        <v>0</v>
      </c>
      <c r="I70" s="339">
        <f t="shared" ca="1" si="20"/>
        <v>0</v>
      </c>
      <c r="J70" s="339">
        <f ca="1">SUMIF(KBNS,C70,JK)</f>
        <v>0</v>
      </c>
      <c r="K70" s="15">
        <f t="shared" ca="1" si="13"/>
        <v>0</v>
      </c>
      <c r="L70" s="326">
        <f t="shared" si="14"/>
        <v>0</v>
      </c>
    </row>
    <row r="71" spans="2:12" x14ac:dyDescent="0.3">
      <c r="B71">
        <f t="shared" si="6"/>
        <v>1</v>
      </c>
      <c r="C71" s="349">
        <f>'Formula (2)'!C70</f>
        <v>21000</v>
      </c>
      <c r="D71" s="350" t="str">
        <f t="shared" si="15"/>
        <v>Utang non operasional</v>
      </c>
      <c r="E71" s="350" t="str">
        <f t="shared" si="16"/>
        <v>Db</v>
      </c>
      <c r="F71" s="351" t="str">
        <f t="shared" si="17"/>
        <v>Nrc</v>
      </c>
      <c r="G71" s="25">
        <f t="shared" si="18"/>
        <v>0</v>
      </c>
      <c r="H71" s="14">
        <f t="shared" si="19"/>
        <v>0</v>
      </c>
      <c r="I71" s="352">
        <f t="shared" ca="1" si="20"/>
        <v>0</v>
      </c>
      <c r="J71" s="353">
        <f ca="1">SUMIF(KBNS,C71,JK)</f>
        <v>0</v>
      </c>
      <c r="K71" s="15">
        <f t="shared" ca="1" si="13"/>
        <v>0</v>
      </c>
      <c r="L71" s="326">
        <f t="shared" si="14"/>
        <v>0</v>
      </c>
    </row>
    <row r="72" spans="2:12" x14ac:dyDescent="0.3">
      <c r="B72">
        <f t="shared" si="6"/>
        <v>1</v>
      </c>
      <c r="C72" s="11">
        <f>'Formula (2)'!C71</f>
        <v>21001</v>
      </c>
      <c r="D72" s="12" t="str">
        <f t="shared" si="15"/>
        <v>Utang sewa</v>
      </c>
      <c r="E72" s="12" t="str">
        <f t="shared" si="16"/>
        <v>Db</v>
      </c>
      <c r="F72" s="27" t="str">
        <f t="shared" si="17"/>
        <v>Nrc</v>
      </c>
      <c r="G72" s="25">
        <f t="shared" si="18"/>
        <v>0</v>
      </c>
      <c r="H72" s="14">
        <f t="shared" si="19"/>
        <v>0</v>
      </c>
      <c r="I72" s="342">
        <f t="shared" ca="1" si="20"/>
        <v>0</v>
      </c>
      <c r="J72" s="343">
        <f ca="1">SUMIF(KBNS,C72,JK)</f>
        <v>0</v>
      </c>
      <c r="K72" s="15">
        <f t="shared" ca="1" si="13"/>
        <v>0</v>
      </c>
      <c r="L72" s="326">
        <f t="shared" si="14"/>
        <v>0</v>
      </c>
    </row>
    <row r="73" spans="2:12" x14ac:dyDescent="0.3">
      <c r="B73">
        <f t="shared" ref="B73:B136" si="21">IF(D73=0,0,1)</f>
        <v>1</v>
      </c>
      <c r="C73" s="11">
        <f>'Formula (2)'!C72</f>
        <v>21002</v>
      </c>
      <c r="D73" s="12" t="str">
        <f t="shared" si="15"/>
        <v>Utang Bank</v>
      </c>
      <c r="E73" s="12" t="str">
        <f t="shared" si="16"/>
        <v>Db</v>
      </c>
      <c r="F73" s="27" t="str">
        <f t="shared" si="17"/>
        <v>Nrc</v>
      </c>
      <c r="G73" s="25">
        <f t="shared" si="18"/>
        <v>0</v>
      </c>
      <c r="H73" s="14">
        <f t="shared" si="19"/>
        <v>0</v>
      </c>
      <c r="I73" s="342">
        <f t="shared" ca="1" si="20"/>
        <v>0</v>
      </c>
      <c r="J73" s="343">
        <f ca="1">SUMIF(KBNS,C73,JK)</f>
        <v>0</v>
      </c>
      <c r="K73" s="15">
        <f t="shared" ca="1" si="13"/>
        <v>0</v>
      </c>
      <c r="L73" s="326">
        <f t="shared" si="14"/>
        <v>0</v>
      </c>
    </row>
    <row r="74" spans="2:12" ht="15" thickBot="1" x14ac:dyDescent="0.35">
      <c r="B74">
        <f t="shared" si="21"/>
        <v>1</v>
      </c>
      <c r="C74" s="340">
        <f>'Formula (2)'!C73</f>
        <v>21003</v>
      </c>
      <c r="D74" s="334" t="str">
        <f t="shared" si="15"/>
        <v>Utang Bunga</v>
      </c>
      <c r="E74" s="334" t="str">
        <f t="shared" si="16"/>
        <v>Db</v>
      </c>
      <c r="F74" s="341" t="str">
        <f t="shared" si="17"/>
        <v>Nrc</v>
      </c>
      <c r="G74" s="25">
        <f t="shared" si="18"/>
        <v>0</v>
      </c>
      <c r="H74" s="14">
        <f t="shared" si="19"/>
        <v>0</v>
      </c>
      <c r="I74" s="344">
        <f t="shared" ca="1" si="20"/>
        <v>0</v>
      </c>
      <c r="J74" s="345">
        <f ca="1">SUMIF(KBNS,C74,JK)</f>
        <v>0</v>
      </c>
      <c r="K74" s="15">
        <f t="shared" ca="1" si="13"/>
        <v>0</v>
      </c>
      <c r="L74" s="326">
        <f t="shared" si="14"/>
        <v>0</v>
      </c>
    </row>
    <row r="75" spans="2:12" ht="15" hidden="1" thickBot="1" x14ac:dyDescent="0.35">
      <c r="B75">
        <f t="shared" si="21"/>
        <v>0</v>
      </c>
      <c r="C75" s="11">
        <f>'Formula (2)'!C74</f>
        <v>21004</v>
      </c>
      <c r="D75" s="12">
        <f t="shared" si="15"/>
        <v>0</v>
      </c>
      <c r="E75" s="12" t="str">
        <f t="shared" si="16"/>
        <v>Db</v>
      </c>
      <c r="F75" s="27" t="str">
        <f t="shared" si="17"/>
        <v>Nrc</v>
      </c>
      <c r="G75" s="25">
        <f t="shared" si="18"/>
        <v>0</v>
      </c>
      <c r="H75" s="14">
        <f t="shared" si="19"/>
        <v>0</v>
      </c>
      <c r="I75" s="16">
        <f t="shared" ca="1" si="20"/>
        <v>0</v>
      </c>
      <c r="J75" s="16">
        <f ca="1">SUMIF(KBNS,C75,JK)</f>
        <v>0</v>
      </c>
      <c r="K75" s="15">
        <f t="shared" ca="1" si="13"/>
        <v>0</v>
      </c>
      <c r="L75" s="326">
        <f t="shared" si="14"/>
        <v>0</v>
      </c>
    </row>
    <row r="76" spans="2:12" ht="15" hidden="1" thickBot="1" x14ac:dyDescent="0.35">
      <c r="B76">
        <f t="shared" si="21"/>
        <v>0</v>
      </c>
      <c r="C76" s="11">
        <f>'Formula (2)'!C75</f>
        <v>21005</v>
      </c>
      <c r="D76" s="12">
        <f t="shared" si="15"/>
        <v>0</v>
      </c>
      <c r="E76" s="12" t="str">
        <f t="shared" si="16"/>
        <v>Db</v>
      </c>
      <c r="F76" s="27" t="str">
        <f t="shared" si="17"/>
        <v>Nrc</v>
      </c>
      <c r="G76" s="25">
        <f t="shared" si="18"/>
        <v>0</v>
      </c>
      <c r="H76" s="14">
        <f t="shared" si="19"/>
        <v>0</v>
      </c>
      <c r="I76" s="16">
        <f t="shared" ca="1" si="20"/>
        <v>0</v>
      </c>
      <c r="J76" s="16">
        <f ca="1">SUMIF(KBNS,C76,JK)</f>
        <v>0</v>
      </c>
      <c r="K76" s="15">
        <f t="shared" ca="1" si="13"/>
        <v>0</v>
      </c>
      <c r="L76" s="326">
        <f t="shared" si="14"/>
        <v>0</v>
      </c>
    </row>
    <row r="77" spans="2:12" ht="15" hidden="1" thickBot="1" x14ac:dyDescent="0.35">
      <c r="B77">
        <f t="shared" si="21"/>
        <v>0</v>
      </c>
      <c r="C77" s="11">
        <f>'Formula (2)'!C76</f>
        <v>21006</v>
      </c>
      <c r="D77" s="12">
        <f t="shared" si="15"/>
        <v>0</v>
      </c>
      <c r="E77" s="12" t="str">
        <f t="shared" si="16"/>
        <v>Db</v>
      </c>
      <c r="F77" s="27" t="str">
        <f t="shared" si="17"/>
        <v>Nrc</v>
      </c>
      <c r="G77" s="25">
        <f t="shared" si="18"/>
        <v>0</v>
      </c>
      <c r="H77" s="14">
        <f t="shared" si="19"/>
        <v>0</v>
      </c>
      <c r="I77" s="16">
        <f t="shared" ca="1" si="20"/>
        <v>0</v>
      </c>
      <c r="J77" s="16">
        <f ca="1">SUMIF(KBNS,C77,JK)</f>
        <v>0</v>
      </c>
      <c r="K77" s="15">
        <f t="shared" ca="1" si="13"/>
        <v>0</v>
      </c>
      <c r="L77" s="326">
        <f t="shared" si="14"/>
        <v>0</v>
      </c>
    </row>
    <row r="78" spans="2:12" ht="15" hidden="1" thickBot="1" x14ac:dyDescent="0.35">
      <c r="B78">
        <f t="shared" si="21"/>
        <v>0</v>
      </c>
      <c r="C78" s="11">
        <f>'Formula (2)'!C77</f>
        <v>21007</v>
      </c>
      <c r="D78" s="12">
        <f t="shared" si="15"/>
        <v>0</v>
      </c>
      <c r="E78" s="12" t="str">
        <f t="shared" si="16"/>
        <v>Db</v>
      </c>
      <c r="F78" s="27" t="str">
        <f t="shared" si="17"/>
        <v>Nrc</v>
      </c>
      <c r="G78" s="25">
        <f t="shared" si="18"/>
        <v>0</v>
      </c>
      <c r="H78" s="14">
        <f t="shared" si="19"/>
        <v>0</v>
      </c>
      <c r="I78" s="16">
        <f t="shared" ca="1" si="20"/>
        <v>0</v>
      </c>
      <c r="J78" s="16">
        <f ca="1">SUMIF(KBNS,C78,JK)</f>
        <v>0</v>
      </c>
      <c r="K78" s="15">
        <f t="shared" ca="1" si="13"/>
        <v>0</v>
      </c>
      <c r="L78" s="326">
        <f t="shared" si="14"/>
        <v>0</v>
      </c>
    </row>
    <row r="79" spans="2:12" ht="15" hidden="1" thickBot="1" x14ac:dyDescent="0.35">
      <c r="B79">
        <f t="shared" si="21"/>
        <v>0</v>
      </c>
      <c r="C79" s="11">
        <f>'Formula (2)'!C78</f>
        <v>21008</v>
      </c>
      <c r="D79" s="12">
        <f t="shared" si="15"/>
        <v>0</v>
      </c>
      <c r="E79" s="12" t="str">
        <f t="shared" si="16"/>
        <v>Db</v>
      </c>
      <c r="F79" s="27" t="str">
        <f t="shared" si="17"/>
        <v>Nrc</v>
      </c>
      <c r="G79" s="25">
        <f t="shared" si="18"/>
        <v>0</v>
      </c>
      <c r="H79" s="14">
        <f t="shared" si="19"/>
        <v>0</v>
      </c>
      <c r="I79" s="16">
        <f t="shared" ca="1" si="20"/>
        <v>0</v>
      </c>
      <c r="J79" s="16">
        <f ca="1">SUMIF(KBNS,C79,JK)</f>
        <v>0</v>
      </c>
      <c r="K79" s="15">
        <f t="shared" ca="1" si="13"/>
        <v>0</v>
      </c>
      <c r="L79" s="326">
        <f t="shared" si="14"/>
        <v>0</v>
      </c>
    </row>
    <row r="80" spans="2:12" ht="15" hidden="1" thickBot="1" x14ac:dyDescent="0.35">
      <c r="B80">
        <f t="shared" si="21"/>
        <v>0</v>
      </c>
      <c r="C80" s="11">
        <f>'Formula (2)'!C79</f>
        <v>21009</v>
      </c>
      <c r="D80" s="12">
        <f t="shared" si="15"/>
        <v>0</v>
      </c>
      <c r="E80" s="12" t="str">
        <f t="shared" si="16"/>
        <v>Db</v>
      </c>
      <c r="F80" s="27" t="str">
        <f t="shared" si="17"/>
        <v>Nrc</v>
      </c>
      <c r="G80" s="25">
        <f t="shared" si="18"/>
        <v>0</v>
      </c>
      <c r="H80" s="14">
        <f t="shared" si="19"/>
        <v>0</v>
      </c>
      <c r="I80" s="16">
        <f t="shared" ca="1" si="20"/>
        <v>0</v>
      </c>
      <c r="J80" s="16">
        <f ca="1">SUMIF(KBNS,C80,JK)</f>
        <v>0</v>
      </c>
      <c r="K80" s="15">
        <f t="shared" ca="1" si="13"/>
        <v>0</v>
      </c>
      <c r="L80" s="326">
        <f t="shared" si="14"/>
        <v>0</v>
      </c>
    </row>
    <row r="81" spans="2:12" ht="15" hidden="1" thickBot="1" x14ac:dyDescent="0.35">
      <c r="B81">
        <f t="shared" si="21"/>
        <v>0</v>
      </c>
      <c r="C81" s="329">
        <f>'Formula (2)'!C80</f>
        <v>21010</v>
      </c>
      <c r="D81" s="30">
        <f t="shared" si="15"/>
        <v>0</v>
      </c>
      <c r="E81" s="30" t="str">
        <f t="shared" si="16"/>
        <v>Db</v>
      </c>
      <c r="F81" s="330" t="str">
        <f t="shared" si="17"/>
        <v>Nrc</v>
      </c>
      <c r="G81" s="25">
        <f t="shared" si="18"/>
        <v>0</v>
      </c>
      <c r="H81" s="14">
        <f t="shared" si="19"/>
        <v>0</v>
      </c>
      <c r="I81" s="339">
        <f t="shared" ca="1" si="20"/>
        <v>0</v>
      </c>
      <c r="J81" s="339">
        <f ca="1">SUMIF(KBNS,C81,JK)</f>
        <v>0</v>
      </c>
      <c r="K81" s="15">
        <f t="shared" ref="K81:K144" ca="1" si="22">IF(E81="Db",G81-H81+I81-J81,0)</f>
        <v>0</v>
      </c>
      <c r="L81" s="326">
        <f t="shared" ref="L81:L144" si="23">IF(E81="Kr",H81+J81-G81-I81,0)</f>
        <v>0</v>
      </c>
    </row>
    <row r="82" spans="2:12" x14ac:dyDescent="0.3">
      <c r="B82">
        <f t="shared" si="21"/>
        <v>1</v>
      </c>
      <c r="C82" s="349">
        <f>'Formula (2)'!C81</f>
        <v>30000</v>
      </c>
      <c r="D82" s="350" t="str">
        <f t="shared" si="15"/>
        <v>Modal/Ekuitas</v>
      </c>
      <c r="E82" s="350" t="str">
        <f t="shared" si="16"/>
        <v>Kr</v>
      </c>
      <c r="F82" s="351" t="str">
        <f t="shared" si="17"/>
        <v>Nrc</v>
      </c>
      <c r="G82" s="25">
        <f t="shared" si="18"/>
        <v>0</v>
      </c>
      <c r="H82" s="14">
        <f t="shared" si="19"/>
        <v>100000</v>
      </c>
      <c r="I82" s="352">
        <f t="shared" ca="1" si="20"/>
        <v>0</v>
      </c>
      <c r="J82" s="353">
        <f ca="1">SUMIF(KBNS,C82,JK)</f>
        <v>0</v>
      </c>
      <c r="K82" s="15">
        <f t="shared" si="22"/>
        <v>0</v>
      </c>
      <c r="L82" s="326">
        <f t="shared" ca="1" si="23"/>
        <v>100000</v>
      </c>
    </row>
    <row r="83" spans="2:12" x14ac:dyDescent="0.3">
      <c r="B83">
        <f t="shared" si="21"/>
        <v>1</v>
      </c>
      <c r="C83" s="11">
        <f>'Formula (2)'!C82</f>
        <v>30001</v>
      </c>
      <c r="D83" s="12" t="str">
        <f t="shared" ref="D83:D146" si="24">IF(C83="","",VLOOKUP(C83,daftarakun,2,0))</f>
        <v>Prive</v>
      </c>
      <c r="E83" s="12" t="str">
        <f t="shared" ref="E83:E146" si="25">IF(C83="","",VLOOKUP(C83,daftarakun,4,0))</f>
        <v>Db</v>
      </c>
      <c r="F83" s="27" t="str">
        <f t="shared" ref="F83:F146" si="26">IF(C83="","",VLOOKUP(C83,daftarakun,3,0))</f>
        <v>Nrc</v>
      </c>
      <c r="G83" s="25">
        <f t="shared" ref="G83:G146" si="27">IF(C83="","",VLOOKUP(C83,daftarakun,5,0))</f>
        <v>0</v>
      </c>
      <c r="H83" s="14">
        <f t="shared" ref="H83:H146" si="28">IF(C83="","",VLOOKUP(C83,daftarakun,6,0))</f>
        <v>0</v>
      </c>
      <c r="I83" s="342">
        <f t="shared" ref="I83:I146" ca="1" si="29">SUMIF(KBNS,C83,JB)</f>
        <v>0</v>
      </c>
      <c r="J83" s="343">
        <f ca="1">SUMIF(KBNS,C83,JK)</f>
        <v>0</v>
      </c>
      <c r="K83" s="15">
        <f t="shared" ca="1" si="22"/>
        <v>0</v>
      </c>
      <c r="L83" s="326">
        <f t="shared" si="23"/>
        <v>0</v>
      </c>
    </row>
    <row r="84" spans="2:12" ht="15" thickBot="1" x14ac:dyDescent="0.35">
      <c r="B84">
        <f t="shared" si="21"/>
        <v>1</v>
      </c>
      <c r="C84" s="340">
        <f>'Formula (2)'!C83</f>
        <v>30002</v>
      </c>
      <c r="D84" s="334" t="str">
        <f t="shared" si="24"/>
        <v>Ikhtisar Laba Rugi</v>
      </c>
      <c r="E84" s="334" t="str">
        <f t="shared" si="25"/>
        <v>Db</v>
      </c>
      <c r="F84" s="341" t="str">
        <f t="shared" si="26"/>
        <v>Nrc</v>
      </c>
      <c r="G84" s="25">
        <f t="shared" si="27"/>
        <v>0</v>
      </c>
      <c r="H84" s="14">
        <f t="shared" si="28"/>
        <v>0</v>
      </c>
      <c r="I84" s="344">
        <f t="shared" ca="1" si="29"/>
        <v>0</v>
      </c>
      <c r="J84" s="345">
        <f ca="1">SUMIF(KBNS,C84,JK)</f>
        <v>0</v>
      </c>
      <c r="K84" s="15">
        <f t="shared" ca="1" si="22"/>
        <v>0</v>
      </c>
      <c r="L84" s="326">
        <f t="shared" si="23"/>
        <v>0</v>
      </c>
    </row>
    <row r="85" spans="2:12" ht="15" hidden="1" thickBot="1" x14ac:dyDescent="0.35">
      <c r="B85">
        <f t="shared" si="21"/>
        <v>0</v>
      </c>
      <c r="C85" s="11">
        <f>'Formula (2)'!C84</f>
        <v>30003</v>
      </c>
      <c r="D85" s="12">
        <f t="shared" si="24"/>
        <v>0</v>
      </c>
      <c r="E85" s="12" t="str">
        <f t="shared" si="25"/>
        <v>Db</v>
      </c>
      <c r="F85" s="27" t="str">
        <f t="shared" si="26"/>
        <v>Nrc</v>
      </c>
      <c r="G85" s="25">
        <f t="shared" si="27"/>
        <v>0</v>
      </c>
      <c r="H85" s="14">
        <f t="shared" si="28"/>
        <v>0</v>
      </c>
      <c r="I85" s="16">
        <f t="shared" ca="1" si="29"/>
        <v>0</v>
      </c>
      <c r="J85" s="16">
        <f ca="1">SUMIF(KBNS,C85,JK)</f>
        <v>0</v>
      </c>
      <c r="K85" s="15">
        <f t="shared" ca="1" si="22"/>
        <v>0</v>
      </c>
      <c r="L85" s="326">
        <f t="shared" si="23"/>
        <v>0</v>
      </c>
    </row>
    <row r="86" spans="2:12" ht="15" hidden="1" thickBot="1" x14ac:dyDescent="0.35">
      <c r="B86">
        <f t="shared" si="21"/>
        <v>0</v>
      </c>
      <c r="C86" s="11">
        <f>'Formula (2)'!C85</f>
        <v>30004</v>
      </c>
      <c r="D86" s="12">
        <f t="shared" si="24"/>
        <v>0</v>
      </c>
      <c r="E86" s="12" t="str">
        <f t="shared" si="25"/>
        <v>Db</v>
      </c>
      <c r="F86" s="27" t="str">
        <f t="shared" si="26"/>
        <v>Nrc</v>
      </c>
      <c r="G86" s="25">
        <f t="shared" si="27"/>
        <v>0</v>
      </c>
      <c r="H86" s="14">
        <f t="shared" si="28"/>
        <v>0</v>
      </c>
      <c r="I86" s="16">
        <f t="shared" ca="1" si="29"/>
        <v>0</v>
      </c>
      <c r="J86" s="16">
        <f ca="1">SUMIF(KBNS,C86,JK)</f>
        <v>0</v>
      </c>
      <c r="K86" s="15">
        <f t="shared" ca="1" si="22"/>
        <v>0</v>
      </c>
      <c r="L86" s="326">
        <f t="shared" si="23"/>
        <v>0</v>
      </c>
    </row>
    <row r="87" spans="2:12" ht="15" hidden="1" thickBot="1" x14ac:dyDescent="0.35">
      <c r="B87">
        <f t="shared" si="21"/>
        <v>0</v>
      </c>
      <c r="C87" s="11">
        <f>'Formula (2)'!C86</f>
        <v>30005</v>
      </c>
      <c r="D87" s="12">
        <f t="shared" si="24"/>
        <v>0</v>
      </c>
      <c r="E87" s="12" t="str">
        <f t="shared" si="25"/>
        <v>Db</v>
      </c>
      <c r="F87" s="27" t="str">
        <f t="shared" si="26"/>
        <v>Nrc</v>
      </c>
      <c r="G87" s="25">
        <f t="shared" si="27"/>
        <v>0</v>
      </c>
      <c r="H87" s="14">
        <f t="shared" si="28"/>
        <v>0</v>
      </c>
      <c r="I87" s="16">
        <f t="shared" ca="1" si="29"/>
        <v>0</v>
      </c>
      <c r="J87" s="16">
        <f ca="1">SUMIF(KBNS,C87,JK)</f>
        <v>0</v>
      </c>
      <c r="K87" s="15">
        <f t="shared" ca="1" si="22"/>
        <v>0</v>
      </c>
      <c r="L87" s="326">
        <f t="shared" si="23"/>
        <v>0</v>
      </c>
    </row>
    <row r="88" spans="2:12" ht="15" hidden="1" thickBot="1" x14ac:dyDescent="0.35">
      <c r="B88">
        <f t="shared" si="21"/>
        <v>0</v>
      </c>
      <c r="C88" s="11">
        <f>'Formula (2)'!C87</f>
        <v>30006</v>
      </c>
      <c r="D88" s="12">
        <f t="shared" si="24"/>
        <v>0</v>
      </c>
      <c r="E88" s="12" t="str">
        <f t="shared" si="25"/>
        <v>Db</v>
      </c>
      <c r="F88" s="27" t="str">
        <f t="shared" si="26"/>
        <v>Nrc</v>
      </c>
      <c r="G88" s="25">
        <f t="shared" si="27"/>
        <v>0</v>
      </c>
      <c r="H88" s="14">
        <f t="shared" si="28"/>
        <v>0</v>
      </c>
      <c r="I88" s="16">
        <f t="shared" ca="1" si="29"/>
        <v>0</v>
      </c>
      <c r="J88" s="16">
        <f ca="1">SUMIF(KBNS,C88,JK)</f>
        <v>0</v>
      </c>
      <c r="K88" s="15">
        <f t="shared" ca="1" si="22"/>
        <v>0</v>
      </c>
      <c r="L88" s="326">
        <f t="shared" si="23"/>
        <v>0</v>
      </c>
    </row>
    <row r="89" spans="2:12" ht="15" hidden="1" thickBot="1" x14ac:dyDescent="0.35">
      <c r="B89">
        <f t="shared" si="21"/>
        <v>0</v>
      </c>
      <c r="C89" s="11">
        <f>'Formula (2)'!C88</f>
        <v>30007</v>
      </c>
      <c r="D89" s="12">
        <f t="shared" si="24"/>
        <v>0</v>
      </c>
      <c r="E89" s="12" t="str">
        <f t="shared" si="25"/>
        <v>Db</v>
      </c>
      <c r="F89" s="27" t="str">
        <f t="shared" si="26"/>
        <v>Nrc</v>
      </c>
      <c r="G89" s="25">
        <f t="shared" si="27"/>
        <v>0</v>
      </c>
      <c r="H89" s="14">
        <f t="shared" si="28"/>
        <v>0</v>
      </c>
      <c r="I89" s="16">
        <f t="shared" ca="1" si="29"/>
        <v>0</v>
      </c>
      <c r="J89" s="16">
        <f ca="1">SUMIF(KBNS,C89,JK)</f>
        <v>0</v>
      </c>
      <c r="K89" s="15">
        <f t="shared" ca="1" si="22"/>
        <v>0</v>
      </c>
      <c r="L89" s="326">
        <f t="shared" si="23"/>
        <v>0</v>
      </c>
    </row>
    <row r="90" spans="2:12" ht="15" hidden="1" thickBot="1" x14ac:dyDescent="0.35">
      <c r="B90">
        <f t="shared" si="21"/>
        <v>0</v>
      </c>
      <c r="C90" s="11">
        <f>'Formula (2)'!C89</f>
        <v>30008</v>
      </c>
      <c r="D90" s="12">
        <f t="shared" si="24"/>
        <v>0</v>
      </c>
      <c r="E90" s="12" t="str">
        <f t="shared" si="25"/>
        <v>Db</v>
      </c>
      <c r="F90" s="27" t="str">
        <f t="shared" si="26"/>
        <v>Nrc</v>
      </c>
      <c r="G90" s="25">
        <f t="shared" si="27"/>
        <v>0</v>
      </c>
      <c r="H90" s="14">
        <f t="shared" si="28"/>
        <v>0</v>
      </c>
      <c r="I90" s="16">
        <f t="shared" ca="1" si="29"/>
        <v>0</v>
      </c>
      <c r="J90" s="16">
        <f ca="1">SUMIF(KBNS,C90,JK)</f>
        <v>0</v>
      </c>
      <c r="K90" s="15">
        <f t="shared" ca="1" si="22"/>
        <v>0</v>
      </c>
      <c r="L90" s="326">
        <f t="shared" si="23"/>
        <v>0</v>
      </c>
    </row>
    <row r="91" spans="2:12" ht="15" hidden="1" thickBot="1" x14ac:dyDescent="0.35">
      <c r="B91">
        <f t="shared" si="21"/>
        <v>0</v>
      </c>
      <c r="C91" s="11">
        <f>'Formula (2)'!C90</f>
        <v>30009</v>
      </c>
      <c r="D91" s="12">
        <f t="shared" si="24"/>
        <v>0</v>
      </c>
      <c r="E91" s="12" t="str">
        <f t="shared" si="25"/>
        <v>Db</v>
      </c>
      <c r="F91" s="27" t="str">
        <f t="shared" si="26"/>
        <v>Nrc</v>
      </c>
      <c r="G91" s="25">
        <f t="shared" si="27"/>
        <v>0</v>
      </c>
      <c r="H91" s="14">
        <f t="shared" si="28"/>
        <v>0</v>
      </c>
      <c r="I91" s="16">
        <f t="shared" ca="1" si="29"/>
        <v>0</v>
      </c>
      <c r="J91" s="16">
        <f ca="1">SUMIF(KBNS,C91,JK)</f>
        <v>0</v>
      </c>
      <c r="K91" s="15">
        <f t="shared" ca="1" si="22"/>
        <v>0</v>
      </c>
      <c r="L91" s="326">
        <f t="shared" si="23"/>
        <v>0</v>
      </c>
    </row>
    <row r="92" spans="2:12" ht="15" hidden="1" thickBot="1" x14ac:dyDescent="0.35">
      <c r="B92">
        <f t="shared" si="21"/>
        <v>0</v>
      </c>
      <c r="C92" s="11">
        <f>'Formula (2)'!C91</f>
        <v>30009</v>
      </c>
      <c r="D92" s="12">
        <f t="shared" si="24"/>
        <v>0</v>
      </c>
      <c r="E92" s="12" t="str">
        <f t="shared" si="25"/>
        <v>Db</v>
      </c>
      <c r="F92" s="27" t="str">
        <f t="shared" si="26"/>
        <v>Nrc</v>
      </c>
      <c r="G92" s="25">
        <f t="shared" si="27"/>
        <v>0</v>
      </c>
      <c r="H92" s="14">
        <f t="shared" si="28"/>
        <v>0</v>
      </c>
      <c r="I92" s="16">
        <f t="shared" ca="1" si="29"/>
        <v>0</v>
      </c>
      <c r="J92" s="16">
        <f ca="1">SUMIF(KBNS,C92,JK)</f>
        <v>0</v>
      </c>
      <c r="K92" s="15">
        <f t="shared" ca="1" si="22"/>
        <v>0</v>
      </c>
      <c r="L92" s="326">
        <f t="shared" si="23"/>
        <v>0</v>
      </c>
    </row>
    <row r="93" spans="2:12" ht="15" hidden="1" thickBot="1" x14ac:dyDescent="0.35">
      <c r="B93">
        <f t="shared" si="21"/>
        <v>0</v>
      </c>
      <c r="C93" s="329">
        <f>'Formula (2)'!C92</f>
        <v>30010</v>
      </c>
      <c r="D93" s="30">
        <f t="shared" si="24"/>
        <v>0</v>
      </c>
      <c r="E93" s="30" t="str">
        <f t="shared" si="25"/>
        <v>Db</v>
      </c>
      <c r="F93" s="330" t="str">
        <f t="shared" si="26"/>
        <v>Nrc</v>
      </c>
      <c r="G93" s="25">
        <f t="shared" si="27"/>
        <v>0</v>
      </c>
      <c r="H93" s="14">
        <f t="shared" si="28"/>
        <v>0</v>
      </c>
      <c r="I93" s="339">
        <f t="shared" ca="1" si="29"/>
        <v>0</v>
      </c>
      <c r="J93" s="339">
        <f ca="1">SUMIF(KBNS,C93,JK)</f>
        <v>0</v>
      </c>
      <c r="K93" s="15">
        <f t="shared" ca="1" si="22"/>
        <v>0</v>
      </c>
      <c r="L93" s="326">
        <f t="shared" si="23"/>
        <v>0</v>
      </c>
    </row>
    <row r="94" spans="2:12" x14ac:dyDescent="0.3">
      <c r="B94">
        <f t="shared" si="21"/>
        <v>1</v>
      </c>
      <c r="C94" s="349">
        <f>'Formula (2)'!C93</f>
        <v>40000</v>
      </c>
      <c r="D94" s="350" t="str">
        <f t="shared" si="24"/>
        <v>Pendapatan oprasional</v>
      </c>
      <c r="E94" s="350" t="str">
        <f t="shared" si="25"/>
        <v>Kr</v>
      </c>
      <c r="F94" s="351" t="str">
        <f t="shared" si="26"/>
        <v>Lr</v>
      </c>
      <c r="G94" s="25">
        <f t="shared" si="27"/>
        <v>0</v>
      </c>
      <c r="H94" s="14">
        <f t="shared" si="28"/>
        <v>0</v>
      </c>
      <c r="I94" s="352">
        <f t="shared" ca="1" si="29"/>
        <v>0</v>
      </c>
      <c r="J94" s="353">
        <f ca="1">SUMIF(KBNS,C94,JK)</f>
        <v>0</v>
      </c>
      <c r="K94" s="15">
        <f t="shared" si="22"/>
        <v>0</v>
      </c>
      <c r="L94" s="326">
        <f t="shared" ca="1" si="23"/>
        <v>0</v>
      </c>
    </row>
    <row r="95" spans="2:12" x14ac:dyDescent="0.3">
      <c r="B95">
        <f t="shared" si="21"/>
        <v>1</v>
      </c>
      <c r="C95" s="11">
        <f>'Formula (2)'!C94</f>
        <v>40001</v>
      </c>
      <c r="D95" s="12" t="str">
        <f t="shared" si="24"/>
        <v>Pendapatan Bunga</v>
      </c>
      <c r="E95" s="12" t="str">
        <f t="shared" si="25"/>
        <v>Kr</v>
      </c>
      <c r="F95" s="27" t="str">
        <f t="shared" si="26"/>
        <v>Lr</v>
      </c>
      <c r="G95" s="25">
        <f t="shared" si="27"/>
        <v>0</v>
      </c>
      <c r="H95" s="14">
        <f t="shared" si="28"/>
        <v>0</v>
      </c>
      <c r="I95" s="342">
        <f t="shared" ca="1" si="29"/>
        <v>0</v>
      </c>
      <c r="J95" s="343">
        <f ca="1">SUMIF(KBNS,C95,JK)</f>
        <v>0</v>
      </c>
      <c r="K95" s="15">
        <f t="shared" si="22"/>
        <v>0</v>
      </c>
      <c r="L95" s="326">
        <f t="shared" ca="1" si="23"/>
        <v>0</v>
      </c>
    </row>
    <row r="96" spans="2:12" x14ac:dyDescent="0.3">
      <c r="B96">
        <f t="shared" si="21"/>
        <v>1</v>
      </c>
      <c r="C96" s="11">
        <f>'Formula (2)'!C95</f>
        <v>40002</v>
      </c>
      <c r="D96" s="12" t="str">
        <f t="shared" si="24"/>
        <v>Retur Penjualan</v>
      </c>
      <c r="E96" s="12" t="str">
        <f t="shared" si="25"/>
        <v>Kr</v>
      </c>
      <c r="F96" s="27" t="str">
        <f t="shared" si="26"/>
        <v>Lr</v>
      </c>
      <c r="G96" s="25">
        <f t="shared" si="27"/>
        <v>0</v>
      </c>
      <c r="H96" s="14">
        <f t="shared" si="28"/>
        <v>0</v>
      </c>
      <c r="I96" s="342">
        <f t="shared" ca="1" si="29"/>
        <v>0</v>
      </c>
      <c r="J96" s="343">
        <f ca="1">SUMIF(KBNS,C96,JK)</f>
        <v>0</v>
      </c>
      <c r="K96" s="15">
        <f t="shared" si="22"/>
        <v>0</v>
      </c>
      <c r="L96" s="326">
        <f t="shared" ca="1" si="23"/>
        <v>0</v>
      </c>
    </row>
    <row r="97" spans="2:12" x14ac:dyDescent="0.3">
      <c r="B97">
        <f t="shared" si="21"/>
        <v>1</v>
      </c>
      <c r="C97" s="11">
        <f>'Formula (2)'!C96</f>
        <v>40003</v>
      </c>
      <c r="D97" s="12" t="str">
        <f t="shared" si="24"/>
        <v>Potongan Penjualan</v>
      </c>
      <c r="E97" s="12" t="str">
        <f t="shared" si="25"/>
        <v>Kr</v>
      </c>
      <c r="F97" s="27" t="str">
        <f t="shared" si="26"/>
        <v>Lr</v>
      </c>
      <c r="G97" s="25">
        <f t="shared" si="27"/>
        <v>0</v>
      </c>
      <c r="H97" s="14">
        <f t="shared" si="28"/>
        <v>0</v>
      </c>
      <c r="I97" s="342">
        <f t="shared" ca="1" si="29"/>
        <v>0</v>
      </c>
      <c r="J97" s="343">
        <f ca="1">SUMIF(KBNS,C97,JK)</f>
        <v>0</v>
      </c>
      <c r="K97" s="15">
        <f t="shared" si="22"/>
        <v>0</v>
      </c>
      <c r="L97" s="326">
        <f t="shared" ca="1" si="23"/>
        <v>0</v>
      </c>
    </row>
    <row r="98" spans="2:12" x14ac:dyDescent="0.3">
      <c r="B98">
        <f t="shared" si="21"/>
        <v>1</v>
      </c>
      <c r="C98" s="11">
        <f>'Formula (2)'!C97</f>
        <v>40004</v>
      </c>
      <c r="D98" s="12" t="str">
        <f t="shared" si="24"/>
        <v>Pembelian</v>
      </c>
      <c r="E98" s="12" t="str">
        <f t="shared" si="25"/>
        <v>Kr</v>
      </c>
      <c r="F98" s="27" t="str">
        <f t="shared" si="26"/>
        <v>Lr</v>
      </c>
      <c r="G98" s="25">
        <f t="shared" si="27"/>
        <v>0</v>
      </c>
      <c r="H98" s="14">
        <f t="shared" si="28"/>
        <v>0</v>
      </c>
      <c r="I98" s="342">
        <f t="shared" ca="1" si="29"/>
        <v>0</v>
      </c>
      <c r="J98" s="343">
        <f ca="1">SUMIF(KBNS,C98,JK)</f>
        <v>0</v>
      </c>
      <c r="K98" s="15">
        <f t="shared" si="22"/>
        <v>0</v>
      </c>
      <c r="L98" s="326">
        <f t="shared" ca="1" si="23"/>
        <v>0</v>
      </c>
    </row>
    <row r="99" spans="2:12" x14ac:dyDescent="0.3">
      <c r="B99">
        <f t="shared" si="21"/>
        <v>1</v>
      </c>
      <c r="C99" s="11">
        <f>'Formula (2)'!C98</f>
        <v>40005</v>
      </c>
      <c r="D99" s="12" t="str">
        <f t="shared" si="24"/>
        <v xml:space="preserve">Retur Pembelian </v>
      </c>
      <c r="E99" s="12" t="str">
        <f t="shared" si="25"/>
        <v>Kr</v>
      </c>
      <c r="F99" s="27" t="str">
        <f t="shared" si="26"/>
        <v>Lr</v>
      </c>
      <c r="G99" s="25">
        <f t="shared" si="27"/>
        <v>0</v>
      </c>
      <c r="H99" s="14">
        <f t="shared" si="28"/>
        <v>1000000</v>
      </c>
      <c r="I99" s="342">
        <f t="shared" ca="1" si="29"/>
        <v>0</v>
      </c>
      <c r="J99" s="343">
        <f ca="1">SUMIF(KBNS,C99,JK)</f>
        <v>0</v>
      </c>
      <c r="K99" s="15">
        <f t="shared" si="22"/>
        <v>0</v>
      </c>
      <c r="L99" s="326">
        <f t="shared" ca="1" si="23"/>
        <v>1000000</v>
      </c>
    </row>
    <row r="100" spans="2:12" x14ac:dyDescent="0.3">
      <c r="B100">
        <f t="shared" si="21"/>
        <v>1</v>
      </c>
      <c r="C100" s="11">
        <f>'Formula (2)'!C99</f>
        <v>40006</v>
      </c>
      <c r="D100" s="12" t="str">
        <f t="shared" si="24"/>
        <v>Beban Angkut Pembelian</v>
      </c>
      <c r="E100" s="12" t="str">
        <f t="shared" si="25"/>
        <v>Kr</v>
      </c>
      <c r="F100" s="27" t="str">
        <f t="shared" si="26"/>
        <v>Lr</v>
      </c>
      <c r="G100" s="25">
        <f t="shared" si="27"/>
        <v>0</v>
      </c>
      <c r="H100" s="14">
        <f t="shared" si="28"/>
        <v>0</v>
      </c>
      <c r="I100" s="342">
        <f t="shared" ca="1" si="29"/>
        <v>0</v>
      </c>
      <c r="J100" s="343">
        <f ca="1">SUMIF(KBNS,C100,JK)</f>
        <v>0</v>
      </c>
      <c r="K100" s="15">
        <f t="shared" si="22"/>
        <v>0</v>
      </c>
      <c r="L100" s="326">
        <f t="shared" ca="1" si="23"/>
        <v>0</v>
      </c>
    </row>
    <row r="101" spans="2:12" x14ac:dyDescent="0.3">
      <c r="B101">
        <f t="shared" si="21"/>
        <v>1</v>
      </c>
      <c r="C101" s="11">
        <f>'Formula (2)'!C100</f>
        <v>40007</v>
      </c>
      <c r="D101" s="12" t="str">
        <f t="shared" si="24"/>
        <v>IRL</v>
      </c>
      <c r="E101" s="12" t="str">
        <f t="shared" si="25"/>
        <v>Kr</v>
      </c>
      <c r="F101" s="27" t="str">
        <f t="shared" si="26"/>
        <v>Lr</v>
      </c>
      <c r="G101" s="25">
        <f t="shared" si="27"/>
        <v>0</v>
      </c>
      <c r="H101" s="14">
        <f t="shared" si="28"/>
        <v>0</v>
      </c>
      <c r="I101" s="342">
        <f t="shared" ca="1" si="29"/>
        <v>0</v>
      </c>
      <c r="J101" s="343">
        <f ca="1">SUMIF(KBNS,C101,JK)</f>
        <v>0</v>
      </c>
      <c r="K101" s="15">
        <f t="shared" si="22"/>
        <v>0</v>
      </c>
      <c r="L101" s="326">
        <f t="shared" ca="1" si="23"/>
        <v>0</v>
      </c>
    </row>
    <row r="102" spans="2:12" ht="15" thickBot="1" x14ac:dyDescent="0.35">
      <c r="B102">
        <f t="shared" si="21"/>
        <v>1</v>
      </c>
      <c r="C102" s="340">
        <f>'Formula (2)'!C101</f>
        <v>40008</v>
      </c>
      <c r="D102" s="334" t="str">
        <f t="shared" si="24"/>
        <v xml:space="preserve">Potongan Pembelian </v>
      </c>
      <c r="E102" s="334" t="str">
        <f t="shared" si="25"/>
        <v>Kr</v>
      </c>
      <c r="F102" s="341" t="str">
        <f t="shared" si="26"/>
        <v>Lr</v>
      </c>
      <c r="G102" s="25">
        <f t="shared" si="27"/>
        <v>0</v>
      </c>
      <c r="H102" s="14">
        <f t="shared" si="28"/>
        <v>0</v>
      </c>
      <c r="I102" s="344">
        <f t="shared" ca="1" si="29"/>
        <v>0</v>
      </c>
      <c r="J102" s="345">
        <f ca="1">SUMIF(KBNS,C102,JK)</f>
        <v>0</v>
      </c>
      <c r="K102" s="15">
        <f t="shared" si="22"/>
        <v>0</v>
      </c>
      <c r="L102" s="326">
        <f t="shared" ca="1" si="23"/>
        <v>0</v>
      </c>
    </row>
    <row r="103" spans="2:12" ht="15" hidden="1" thickBot="1" x14ac:dyDescent="0.35">
      <c r="B103">
        <f t="shared" si="21"/>
        <v>0</v>
      </c>
      <c r="C103" s="11">
        <f>'Formula (2)'!C102</f>
        <v>40009</v>
      </c>
      <c r="D103" s="12">
        <f t="shared" si="24"/>
        <v>0</v>
      </c>
      <c r="E103" s="12" t="str">
        <f t="shared" si="25"/>
        <v>Db</v>
      </c>
      <c r="F103" s="27" t="str">
        <f t="shared" si="26"/>
        <v>Nrc</v>
      </c>
      <c r="G103" s="25">
        <f t="shared" si="27"/>
        <v>0</v>
      </c>
      <c r="H103" s="14">
        <f t="shared" si="28"/>
        <v>0</v>
      </c>
      <c r="I103" s="16">
        <f t="shared" ca="1" si="29"/>
        <v>0</v>
      </c>
      <c r="J103" s="16">
        <f ca="1">SUMIF(KBNS,C103,JK)</f>
        <v>0</v>
      </c>
      <c r="K103" s="15">
        <f t="shared" ca="1" si="22"/>
        <v>0</v>
      </c>
      <c r="L103" s="326">
        <f t="shared" si="23"/>
        <v>0</v>
      </c>
    </row>
    <row r="104" spans="2:12" ht="15" hidden="1" thickBot="1" x14ac:dyDescent="0.35">
      <c r="B104">
        <f t="shared" si="21"/>
        <v>0</v>
      </c>
      <c r="C104" s="329">
        <f>'Formula (2)'!C103</f>
        <v>40010</v>
      </c>
      <c r="D104" s="30">
        <f t="shared" si="24"/>
        <v>0</v>
      </c>
      <c r="E104" s="30" t="str">
        <f t="shared" si="25"/>
        <v>Db</v>
      </c>
      <c r="F104" s="330" t="str">
        <f t="shared" si="26"/>
        <v>Nrc</v>
      </c>
      <c r="G104" s="25">
        <f t="shared" si="27"/>
        <v>0</v>
      </c>
      <c r="H104" s="14">
        <f t="shared" si="28"/>
        <v>0</v>
      </c>
      <c r="I104" s="339">
        <f t="shared" ca="1" si="29"/>
        <v>0</v>
      </c>
      <c r="J104" s="339">
        <f ca="1">SUMIF(KBNS,C104,JK)</f>
        <v>0</v>
      </c>
      <c r="K104" s="15">
        <f t="shared" ca="1" si="22"/>
        <v>0</v>
      </c>
      <c r="L104" s="326">
        <f t="shared" si="23"/>
        <v>0</v>
      </c>
    </row>
    <row r="105" spans="2:12" x14ac:dyDescent="0.3">
      <c r="B105">
        <f t="shared" si="21"/>
        <v>1</v>
      </c>
      <c r="C105" s="349">
        <f>'Formula (2)'!C104</f>
        <v>41000</v>
      </c>
      <c r="D105" s="350" t="str">
        <f t="shared" si="24"/>
        <v>Pendapatan Non Oprasional</v>
      </c>
      <c r="E105" s="350" t="str">
        <f t="shared" si="25"/>
        <v>Kr</v>
      </c>
      <c r="F105" s="351" t="str">
        <f t="shared" si="26"/>
        <v>Lr</v>
      </c>
      <c r="G105" s="25">
        <f t="shared" si="27"/>
        <v>0</v>
      </c>
      <c r="H105" s="14">
        <f t="shared" si="28"/>
        <v>0</v>
      </c>
      <c r="I105" s="352">
        <f t="shared" ca="1" si="29"/>
        <v>0</v>
      </c>
      <c r="J105" s="353">
        <f ca="1">SUMIF(KBNS,C105,JK)</f>
        <v>0</v>
      </c>
      <c r="K105" s="15">
        <f t="shared" si="22"/>
        <v>0</v>
      </c>
      <c r="L105" s="326">
        <f t="shared" ca="1" si="23"/>
        <v>0</v>
      </c>
    </row>
    <row r="106" spans="2:12" ht="15" thickBot="1" x14ac:dyDescent="0.35">
      <c r="B106">
        <f t="shared" si="21"/>
        <v>1</v>
      </c>
      <c r="C106" s="340">
        <f>'Formula (2)'!C105</f>
        <v>41001</v>
      </c>
      <c r="D106" s="334" t="str">
        <f t="shared" si="24"/>
        <v>Pendapatan Bunga</v>
      </c>
      <c r="E106" s="334" t="str">
        <f t="shared" si="25"/>
        <v>Kr</v>
      </c>
      <c r="F106" s="341" t="str">
        <f t="shared" si="26"/>
        <v>Lr</v>
      </c>
      <c r="G106" s="25">
        <f t="shared" si="27"/>
        <v>0</v>
      </c>
      <c r="H106" s="14">
        <f t="shared" si="28"/>
        <v>0</v>
      </c>
      <c r="I106" s="344">
        <f t="shared" ca="1" si="29"/>
        <v>0</v>
      </c>
      <c r="J106" s="345">
        <f ca="1">SUMIF(KBNS,C106,JK)</f>
        <v>0</v>
      </c>
      <c r="K106" s="15">
        <f t="shared" si="22"/>
        <v>0</v>
      </c>
      <c r="L106" s="326">
        <f t="shared" ca="1" si="23"/>
        <v>0</v>
      </c>
    </row>
    <row r="107" spans="2:12" ht="15" hidden="1" thickBot="1" x14ac:dyDescent="0.35">
      <c r="B107">
        <f t="shared" si="21"/>
        <v>0</v>
      </c>
      <c r="C107" s="11">
        <f>'Formula (2)'!C106</f>
        <v>41002</v>
      </c>
      <c r="D107" s="12">
        <f t="shared" si="24"/>
        <v>0</v>
      </c>
      <c r="E107" s="12" t="str">
        <f t="shared" si="25"/>
        <v>Db</v>
      </c>
      <c r="F107" s="27" t="str">
        <f t="shared" si="26"/>
        <v>Nrc</v>
      </c>
      <c r="G107" s="25">
        <f t="shared" si="27"/>
        <v>0</v>
      </c>
      <c r="H107" s="14">
        <f t="shared" si="28"/>
        <v>0</v>
      </c>
      <c r="I107" s="16">
        <f t="shared" ca="1" si="29"/>
        <v>0</v>
      </c>
      <c r="J107" s="16">
        <f ca="1">SUMIF(KBNS,C107,JK)</f>
        <v>0</v>
      </c>
      <c r="K107" s="15">
        <f t="shared" ca="1" si="22"/>
        <v>0</v>
      </c>
      <c r="L107" s="326">
        <f t="shared" si="23"/>
        <v>0</v>
      </c>
    </row>
    <row r="108" spans="2:12" ht="15" hidden="1" thickBot="1" x14ac:dyDescent="0.35">
      <c r="B108">
        <f t="shared" si="21"/>
        <v>0</v>
      </c>
      <c r="C108" s="11">
        <f>'Formula (2)'!C107</f>
        <v>41003</v>
      </c>
      <c r="D108" s="12">
        <f t="shared" si="24"/>
        <v>0</v>
      </c>
      <c r="E108" s="12" t="str">
        <f t="shared" si="25"/>
        <v>Db</v>
      </c>
      <c r="F108" s="27" t="str">
        <f t="shared" si="26"/>
        <v>Nrc</v>
      </c>
      <c r="G108" s="25">
        <f t="shared" si="27"/>
        <v>0</v>
      </c>
      <c r="H108" s="14">
        <f t="shared" si="28"/>
        <v>0</v>
      </c>
      <c r="I108" s="16">
        <f t="shared" ca="1" si="29"/>
        <v>0</v>
      </c>
      <c r="J108" s="16">
        <f ca="1">SUMIF(KBNS,C108,JK)</f>
        <v>0</v>
      </c>
      <c r="K108" s="15">
        <f t="shared" ca="1" si="22"/>
        <v>0</v>
      </c>
      <c r="L108" s="326">
        <f t="shared" si="23"/>
        <v>0</v>
      </c>
    </row>
    <row r="109" spans="2:12" ht="15" hidden="1" thickBot="1" x14ac:dyDescent="0.35">
      <c r="B109">
        <f t="shared" si="21"/>
        <v>0</v>
      </c>
      <c r="C109" s="11">
        <f>'Formula (2)'!C108</f>
        <v>41004</v>
      </c>
      <c r="D109" s="12">
        <f t="shared" si="24"/>
        <v>0</v>
      </c>
      <c r="E109" s="12" t="str">
        <f t="shared" si="25"/>
        <v>Db</v>
      </c>
      <c r="F109" s="27" t="str">
        <f t="shared" si="26"/>
        <v>Nrc</v>
      </c>
      <c r="G109" s="25">
        <f t="shared" si="27"/>
        <v>0</v>
      </c>
      <c r="H109" s="14">
        <f t="shared" si="28"/>
        <v>0</v>
      </c>
      <c r="I109" s="16">
        <f t="shared" ca="1" si="29"/>
        <v>0</v>
      </c>
      <c r="J109" s="16">
        <f ca="1">SUMIF(KBNS,C109,JK)</f>
        <v>0</v>
      </c>
      <c r="K109" s="15">
        <f t="shared" ca="1" si="22"/>
        <v>0</v>
      </c>
      <c r="L109" s="326">
        <f t="shared" si="23"/>
        <v>0</v>
      </c>
    </row>
    <row r="110" spans="2:12" ht="15" hidden="1" thickBot="1" x14ac:dyDescent="0.35">
      <c r="B110">
        <f t="shared" si="21"/>
        <v>0</v>
      </c>
      <c r="C110" s="11">
        <f>'Formula (2)'!C109</f>
        <v>41005</v>
      </c>
      <c r="D110" s="12">
        <f t="shared" si="24"/>
        <v>0</v>
      </c>
      <c r="E110" s="12" t="str">
        <f t="shared" si="25"/>
        <v>Db</v>
      </c>
      <c r="F110" s="27" t="str">
        <f t="shared" si="26"/>
        <v>Nrc</v>
      </c>
      <c r="G110" s="25">
        <f t="shared" si="27"/>
        <v>0</v>
      </c>
      <c r="H110" s="14">
        <f t="shared" si="28"/>
        <v>0</v>
      </c>
      <c r="I110" s="16">
        <f t="shared" ca="1" si="29"/>
        <v>0</v>
      </c>
      <c r="J110" s="16">
        <f ca="1">SUMIF(KBNS,C110,JK)</f>
        <v>0</v>
      </c>
      <c r="K110" s="15">
        <f t="shared" ca="1" si="22"/>
        <v>0</v>
      </c>
      <c r="L110" s="326">
        <f t="shared" si="23"/>
        <v>0</v>
      </c>
    </row>
    <row r="111" spans="2:12" ht="15" hidden="1" thickBot="1" x14ac:dyDescent="0.35">
      <c r="B111">
        <f t="shared" si="21"/>
        <v>0</v>
      </c>
      <c r="C111" s="11">
        <f>'Formula (2)'!C110</f>
        <v>41006</v>
      </c>
      <c r="D111" s="12">
        <f t="shared" si="24"/>
        <v>0</v>
      </c>
      <c r="E111" s="12" t="str">
        <f t="shared" si="25"/>
        <v>Db</v>
      </c>
      <c r="F111" s="27" t="str">
        <f t="shared" si="26"/>
        <v>Nrc</v>
      </c>
      <c r="G111" s="25">
        <f t="shared" si="27"/>
        <v>0</v>
      </c>
      <c r="H111" s="14">
        <f t="shared" si="28"/>
        <v>0</v>
      </c>
      <c r="I111" s="16">
        <f t="shared" ca="1" si="29"/>
        <v>0</v>
      </c>
      <c r="J111" s="16">
        <f ca="1">SUMIF(KBNS,C111,JK)</f>
        <v>0</v>
      </c>
      <c r="K111" s="15">
        <f t="shared" ca="1" si="22"/>
        <v>0</v>
      </c>
      <c r="L111" s="326">
        <f t="shared" si="23"/>
        <v>0</v>
      </c>
    </row>
    <row r="112" spans="2:12" ht="15" hidden="1" thickBot="1" x14ac:dyDescent="0.35">
      <c r="B112">
        <f t="shared" si="21"/>
        <v>0</v>
      </c>
      <c r="C112" s="11">
        <f>'Formula (2)'!C111</f>
        <v>41007</v>
      </c>
      <c r="D112" s="12">
        <f t="shared" si="24"/>
        <v>0</v>
      </c>
      <c r="E112" s="12" t="str">
        <f t="shared" si="25"/>
        <v>Db</v>
      </c>
      <c r="F112" s="27" t="str">
        <f t="shared" si="26"/>
        <v>Nrc</v>
      </c>
      <c r="G112" s="25">
        <f t="shared" si="27"/>
        <v>0</v>
      </c>
      <c r="H112" s="14">
        <f t="shared" si="28"/>
        <v>0</v>
      </c>
      <c r="I112" s="16">
        <f t="shared" ca="1" si="29"/>
        <v>0</v>
      </c>
      <c r="J112" s="16">
        <f ca="1">SUMIF(KBNS,C112,JK)</f>
        <v>0</v>
      </c>
      <c r="K112" s="15">
        <f t="shared" ca="1" si="22"/>
        <v>0</v>
      </c>
      <c r="L112" s="326">
        <f t="shared" si="23"/>
        <v>0</v>
      </c>
    </row>
    <row r="113" spans="2:12" ht="15" hidden="1" thickBot="1" x14ac:dyDescent="0.35">
      <c r="B113">
        <f t="shared" si="21"/>
        <v>0</v>
      </c>
      <c r="C113" s="11">
        <f>'Formula (2)'!C112</f>
        <v>41008</v>
      </c>
      <c r="D113" s="12">
        <f t="shared" si="24"/>
        <v>0</v>
      </c>
      <c r="E113" s="12" t="str">
        <f t="shared" si="25"/>
        <v>Db</v>
      </c>
      <c r="F113" s="27" t="str">
        <f t="shared" si="26"/>
        <v>Nrc</v>
      </c>
      <c r="G113" s="25">
        <f t="shared" si="27"/>
        <v>0</v>
      </c>
      <c r="H113" s="14">
        <f t="shared" si="28"/>
        <v>0</v>
      </c>
      <c r="I113" s="16">
        <f t="shared" ca="1" si="29"/>
        <v>0</v>
      </c>
      <c r="J113" s="16">
        <f ca="1">SUMIF(KBNS,C113,JK)</f>
        <v>0</v>
      </c>
      <c r="K113" s="15">
        <f t="shared" ca="1" si="22"/>
        <v>0</v>
      </c>
      <c r="L113" s="326">
        <f t="shared" si="23"/>
        <v>0</v>
      </c>
    </row>
    <row r="114" spans="2:12" ht="15" hidden="1" thickBot="1" x14ac:dyDescent="0.35">
      <c r="B114">
        <f t="shared" si="21"/>
        <v>0</v>
      </c>
      <c r="C114" s="11">
        <f>'Formula (2)'!C113</f>
        <v>41009</v>
      </c>
      <c r="D114" s="12">
        <f t="shared" si="24"/>
        <v>0</v>
      </c>
      <c r="E114" s="12" t="str">
        <f t="shared" si="25"/>
        <v>Db</v>
      </c>
      <c r="F114" s="27" t="str">
        <f t="shared" si="26"/>
        <v>Nrc</v>
      </c>
      <c r="G114" s="25">
        <f t="shared" si="27"/>
        <v>0</v>
      </c>
      <c r="H114" s="14">
        <f t="shared" si="28"/>
        <v>0</v>
      </c>
      <c r="I114" s="16">
        <f t="shared" ca="1" si="29"/>
        <v>0</v>
      </c>
      <c r="J114" s="16">
        <f ca="1">SUMIF(KBNS,C114,JK)</f>
        <v>0</v>
      </c>
      <c r="K114" s="15">
        <f t="shared" ca="1" si="22"/>
        <v>0</v>
      </c>
      <c r="L114" s="326">
        <f t="shared" si="23"/>
        <v>0</v>
      </c>
    </row>
    <row r="115" spans="2:12" ht="15" hidden="1" thickBot="1" x14ac:dyDescent="0.35">
      <c r="B115">
        <f t="shared" si="21"/>
        <v>0</v>
      </c>
      <c r="C115" s="329">
        <f>'Formula (2)'!C114</f>
        <v>41010</v>
      </c>
      <c r="D115" s="30">
        <f t="shared" si="24"/>
        <v>0</v>
      </c>
      <c r="E115" s="30" t="str">
        <f t="shared" si="25"/>
        <v>Db</v>
      </c>
      <c r="F115" s="330" t="str">
        <f t="shared" si="26"/>
        <v>Nrc</v>
      </c>
      <c r="G115" s="25">
        <f t="shared" si="27"/>
        <v>0</v>
      </c>
      <c r="H115" s="14">
        <f t="shared" si="28"/>
        <v>0</v>
      </c>
      <c r="I115" s="339">
        <f t="shared" ca="1" si="29"/>
        <v>0</v>
      </c>
      <c r="J115" s="339">
        <f ca="1">SUMIF(KBNS,C115,JK)</f>
        <v>0</v>
      </c>
      <c r="K115" s="15">
        <f t="shared" ca="1" si="22"/>
        <v>0</v>
      </c>
      <c r="L115" s="326">
        <f t="shared" si="23"/>
        <v>0</v>
      </c>
    </row>
    <row r="116" spans="2:12" x14ac:dyDescent="0.3">
      <c r="B116">
        <f t="shared" si="21"/>
        <v>1</v>
      </c>
      <c r="C116" s="349">
        <f>'Formula (2)'!C115</f>
        <v>50000</v>
      </c>
      <c r="D116" s="350" t="str">
        <f t="shared" si="24"/>
        <v>Beban Oprasional</v>
      </c>
      <c r="E116" s="350" t="str">
        <f t="shared" si="25"/>
        <v>Db</v>
      </c>
      <c r="F116" s="351" t="str">
        <f t="shared" si="26"/>
        <v>Lr</v>
      </c>
      <c r="G116" s="25">
        <f t="shared" si="27"/>
        <v>0</v>
      </c>
      <c r="H116" s="14">
        <f t="shared" si="28"/>
        <v>0</v>
      </c>
      <c r="I116" s="352">
        <f t="shared" ca="1" si="29"/>
        <v>0</v>
      </c>
      <c r="J116" s="353">
        <f ca="1">SUMIF(KBNS,C116,JK)</f>
        <v>0</v>
      </c>
      <c r="K116" s="15">
        <f t="shared" ca="1" si="22"/>
        <v>0</v>
      </c>
      <c r="L116" s="326">
        <f t="shared" si="23"/>
        <v>0</v>
      </c>
    </row>
    <row r="117" spans="2:12" x14ac:dyDescent="0.3">
      <c r="B117">
        <f t="shared" si="21"/>
        <v>1</v>
      </c>
      <c r="C117" s="11">
        <f>'Formula (2)'!C116</f>
        <v>50001</v>
      </c>
      <c r="D117" s="12" t="str">
        <f t="shared" si="24"/>
        <v>Beban Gaji Toko</v>
      </c>
      <c r="E117" s="12" t="str">
        <f t="shared" si="25"/>
        <v>Db</v>
      </c>
      <c r="F117" s="27" t="str">
        <f t="shared" si="26"/>
        <v>Lr</v>
      </c>
      <c r="G117" s="25">
        <f t="shared" si="27"/>
        <v>500000</v>
      </c>
      <c r="H117" s="14">
        <f t="shared" si="28"/>
        <v>0</v>
      </c>
      <c r="I117" s="342">
        <f t="shared" ca="1" si="29"/>
        <v>0</v>
      </c>
      <c r="J117" s="343">
        <f ca="1">SUMIF(KBNS,C117,JK)</f>
        <v>0</v>
      </c>
      <c r="K117" s="15">
        <f t="shared" ca="1" si="22"/>
        <v>500000</v>
      </c>
      <c r="L117" s="326">
        <f t="shared" si="23"/>
        <v>0</v>
      </c>
    </row>
    <row r="118" spans="2:12" x14ac:dyDescent="0.3">
      <c r="B118">
        <f t="shared" si="21"/>
        <v>1</v>
      </c>
      <c r="C118" s="11">
        <f>'Formula (2)'!C117</f>
        <v>50002</v>
      </c>
      <c r="D118" s="12" t="str">
        <f t="shared" si="24"/>
        <v>Beban Gaji Kantor</v>
      </c>
      <c r="E118" s="12" t="str">
        <f t="shared" si="25"/>
        <v>Db</v>
      </c>
      <c r="F118" s="27" t="str">
        <f t="shared" si="26"/>
        <v>Lr</v>
      </c>
      <c r="G118" s="25">
        <f t="shared" si="27"/>
        <v>0</v>
      </c>
      <c r="H118" s="14">
        <f t="shared" si="28"/>
        <v>0</v>
      </c>
      <c r="I118" s="342">
        <f t="shared" ca="1" si="29"/>
        <v>0</v>
      </c>
      <c r="J118" s="343">
        <f ca="1">SUMIF(KBNS,C118,JK)</f>
        <v>0</v>
      </c>
      <c r="K118" s="15">
        <f t="shared" ca="1" si="22"/>
        <v>0</v>
      </c>
      <c r="L118" s="326">
        <f t="shared" si="23"/>
        <v>0</v>
      </c>
    </row>
    <row r="119" spans="2:12" x14ac:dyDescent="0.3">
      <c r="B119">
        <f t="shared" si="21"/>
        <v>1</v>
      </c>
      <c r="C119" s="11">
        <f>'Formula (2)'!C118</f>
        <v>50003</v>
      </c>
      <c r="D119" s="12" t="str">
        <f t="shared" si="24"/>
        <v>Beban Sewa Lahan</v>
      </c>
      <c r="E119" s="12" t="str">
        <f t="shared" si="25"/>
        <v>Db</v>
      </c>
      <c r="F119" s="27" t="str">
        <f t="shared" si="26"/>
        <v>Lr</v>
      </c>
      <c r="G119" s="25">
        <f t="shared" si="27"/>
        <v>0</v>
      </c>
      <c r="H119" s="14">
        <f t="shared" si="28"/>
        <v>0</v>
      </c>
      <c r="I119" s="342">
        <f t="shared" ca="1" si="29"/>
        <v>0</v>
      </c>
      <c r="J119" s="343">
        <f ca="1">SUMIF(KBNS,C119,JK)</f>
        <v>0</v>
      </c>
      <c r="K119" s="15">
        <f t="shared" ca="1" si="22"/>
        <v>0</v>
      </c>
      <c r="L119" s="326">
        <f t="shared" si="23"/>
        <v>0</v>
      </c>
    </row>
    <row r="120" spans="2:12" x14ac:dyDescent="0.3">
      <c r="B120">
        <f t="shared" si="21"/>
        <v>1</v>
      </c>
      <c r="C120" s="11">
        <f>'Formula (2)'!C119</f>
        <v>50004</v>
      </c>
      <c r="D120" s="12" t="str">
        <f t="shared" si="24"/>
        <v>Beban Asuransi</v>
      </c>
      <c r="E120" s="12" t="str">
        <f t="shared" si="25"/>
        <v>Db</v>
      </c>
      <c r="F120" s="27" t="str">
        <f t="shared" si="26"/>
        <v>Lr</v>
      </c>
      <c r="G120" s="25">
        <f t="shared" si="27"/>
        <v>0</v>
      </c>
      <c r="H120" s="14">
        <f t="shared" si="28"/>
        <v>0</v>
      </c>
      <c r="I120" s="342">
        <f t="shared" ca="1" si="29"/>
        <v>0</v>
      </c>
      <c r="J120" s="343">
        <f ca="1">SUMIF(KBNS,C120,JK)</f>
        <v>0</v>
      </c>
      <c r="K120" s="15">
        <f t="shared" ca="1" si="22"/>
        <v>0</v>
      </c>
      <c r="L120" s="326">
        <f t="shared" si="23"/>
        <v>0</v>
      </c>
    </row>
    <row r="121" spans="2:12" x14ac:dyDescent="0.3">
      <c r="B121">
        <f t="shared" si="21"/>
        <v>1</v>
      </c>
      <c r="C121" s="11">
        <f>'Formula (2)'!C120</f>
        <v>50005</v>
      </c>
      <c r="D121" s="12" t="str">
        <f t="shared" si="24"/>
        <v>Beban Penyesuaian Piutang</v>
      </c>
      <c r="E121" s="12" t="str">
        <f t="shared" si="25"/>
        <v>Db</v>
      </c>
      <c r="F121" s="27" t="str">
        <f t="shared" si="26"/>
        <v>Lr</v>
      </c>
      <c r="G121" s="25">
        <f t="shared" si="27"/>
        <v>0</v>
      </c>
      <c r="H121" s="14">
        <f t="shared" si="28"/>
        <v>0</v>
      </c>
      <c r="I121" s="342">
        <f t="shared" ca="1" si="29"/>
        <v>0</v>
      </c>
      <c r="J121" s="343">
        <f ca="1">SUMIF(KBNS,C121,JK)</f>
        <v>0</v>
      </c>
      <c r="K121" s="15">
        <f t="shared" ca="1" si="22"/>
        <v>0</v>
      </c>
      <c r="L121" s="326">
        <f t="shared" si="23"/>
        <v>0</v>
      </c>
    </row>
    <row r="122" spans="2:12" x14ac:dyDescent="0.3">
      <c r="B122">
        <f t="shared" si="21"/>
        <v>1</v>
      </c>
      <c r="C122" s="11">
        <f>'Formula (2)'!C121</f>
        <v>50006</v>
      </c>
      <c r="D122" s="12" t="str">
        <f t="shared" si="24"/>
        <v>Beban Perlengkapan Kantor</v>
      </c>
      <c r="E122" s="12" t="str">
        <f t="shared" si="25"/>
        <v>Db</v>
      </c>
      <c r="F122" s="27" t="str">
        <f t="shared" si="26"/>
        <v>Lr</v>
      </c>
      <c r="G122" s="25">
        <f t="shared" si="27"/>
        <v>0</v>
      </c>
      <c r="H122" s="14">
        <f t="shared" si="28"/>
        <v>0</v>
      </c>
      <c r="I122" s="342">
        <f t="shared" ca="1" si="29"/>
        <v>0</v>
      </c>
      <c r="J122" s="343">
        <f ca="1">SUMIF(KBNS,C122,JK)</f>
        <v>0</v>
      </c>
      <c r="K122" s="15">
        <f t="shared" ca="1" si="22"/>
        <v>0</v>
      </c>
      <c r="L122" s="326">
        <f t="shared" si="23"/>
        <v>0</v>
      </c>
    </row>
    <row r="123" spans="2:12" x14ac:dyDescent="0.3">
      <c r="B123">
        <f t="shared" si="21"/>
        <v>1</v>
      </c>
      <c r="C123" s="11">
        <f>'Formula (2)'!C122</f>
        <v>50007</v>
      </c>
      <c r="D123" s="12" t="str">
        <f t="shared" si="24"/>
        <v>Beban Perlengkapan Toko</v>
      </c>
      <c r="E123" s="12" t="str">
        <f t="shared" si="25"/>
        <v>Db</v>
      </c>
      <c r="F123" s="27" t="str">
        <f t="shared" si="26"/>
        <v>Lr</v>
      </c>
      <c r="G123" s="25">
        <f t="shared" si="27"/>
        <v>0</v>
      </c>
      <c r="H123" s="14">
        <f t="shared" si="28"/>
        <v>0</v>
      </c>
      <c r="I123" s="342">
        <f t="shared" ca="1" si="29"/>
        <v>0</v>
      </c>
      <c r="J123" s="343">
        <f ca="1">SUMIF(KBNS,C123,JK)</f>
        <v>0</v>
      </c>
      <c r="K123" s="15">
        <f t="shared" ca="1" si="22"/>
        <v>0</v>
      </c>
      <c r="L123" s="326">
        <f t="shared" si="23"/>
        <v>0</v>
      </c>
    </row>
    <row r="124" spans="2:12" x14ac:dyDescent="0.3">
      <c r="B124">
        <f t="shared" si="21"/>
        <v>1</v>
      </c>
      <c r="C124" s="11">
        <f>'Formula (2)'!C123</f>
        <v>50008</v>
      </c>
      <c r="D124" s="12" t="str">
        <f t="shared" si="24"/>
        <v>Beban Iklan</v>
      </c>
      <c r="E124" s="12" t="str">
        <f t="shared" si="25"/>
        <v>Db</v>
      </c>
      <c r="F124" s="27" t="str">
        <f t="shared" si="26"/>
        <v>Lr</v>
      </c>
      <c r="G124" s="25">
        <f t="shared" si="27"/>
        <v>0</v>
      </c>
      <c r="H124" s="14">
        <f t="shared" si="28"/>
        <v>0</v>
      </c>
      <c r="I124" s="342">
        <f t="shared" ca="1" si="29"/>
        <v>0</v>
      </c>
      <c r="J124" s="343">
        <f ca="1">SUMIF(KBNS,C124,JK)</f>
        <v>0</v>
      </c>
      <c r="K124" s="15">
        <f t="shared" ca="1" si="22"/>
        <v>0</v>
      </c>
      <c r="L124" s="326">
        <f t="shared" si="23"/>
        <v>0</v>
      </c>
    </row>
    <row r="125" spans="2:12" x14ac:dyDescent="0.3">
      <c r="B125">
        <f t="shared" si="21"/>
        <v>1</v>
      </c>
      <c r="C125" s="11">
        <f>'Formula (2)'!C124</f>
        <v>50009</v>
      </c>
      <c r="D125" s="12" t="str">
        <f t="shared" si="24"/>
        <v>Beban Penyusutan Peralatan kantor</v>
      </c>
      <c r="E125" s="12" t="str">
        <f t="shared" si="25"/>
        <v>Db</v>
      </c>
      <c r="F125" s="27" t="str">
        <f t="shared" si="26"/>
        <v>Lr</v>
      </c>
      <c r="G125" s="25">
        <f t="shared" si="27"/>
        <v>0</v>
      </c>
      <c r="H125" s="14">
        <f t="shared" si="28"/>
        <v>0</v>
      </c>
      <c r="I125" s="342">
        <f t="shared" ca="1" si="29"/>
        <v>0</v>
      </c>
      <c r="J125" s="343">
        <f ca="1">SUMIF(KBNS,C125,JK)</f>
        <v>0</v>
      </c>
      <c r="K125" s="15">
        <f t="shared" ca="1" si="22"/>
        <v>0</v>
      </c>
      <c r="L125" s="326">
        <f t="shared" si="23"/>
        <v>0</v>
      </c>
    </row>
    <row r="126" spans="2:12" x14ac:dyDescent="0.3">
      <c r="B126">
        <f t="shared" si="21"/>
        <v>1</v>
      </c>
      <c r="C126" s="11">
        <f>'Formula (2)'!C125</f>
        <v>50010</v>
      </c>
      <c r="D126" s="12" t="str">
        <f t="shared" si="24"/>
        <v>Beban Penyusutan Gedung</v>
      </c>
      <c r="E126" s="12" t="str">
        <f t="shared" si="25"/>
        <v>Db</v>
      </c>
      <c r="F126" s="27" t="str">
        <f t="shared" si="26"/>
        <v>Lr</v>
      </c>
      <c r="G126" s="25">
        <f t="shared" si="27"/>
        <v>0</v>
      </c>
      <c r="H126" s="14">
        <f t="shared" si="28"/>
        <v>0</v>
      </c>
      <c r="I126" s="342">
        <f t="shared" ca="1" si="29"/>
        <v>0</v>
      </c>
      <c r="J126" s="343">
        <f ca="1">SUMIF(KBNS,C126,JK)</f>
        <v>0</v>
      </c>
      <c r="K126" s="15">
        <f t="shared" ca="1" si="22"/>
        <v>0</v>
      </c>
      <c r="L126" s="326">
        <f t="shared" si="23"/>
        <v>0</v>
      </c>
    </row>
    <row r="127" spans="2:12" x14ac:dyDescent="0.3">
      <c r="B127">
        <f t="shared" si="21"/>
        <v>1</v>
      </c>
      <c r="C127" s="11">
        <f>'Formula (2)'!C126</f>
        <v>50011</v>
      </c>
      <c r="D127" s="12" t="str">
        <f t="shared" si="24"/>
        <v>Beban Bunga</v>
      </c>
      <c r="E127" s="12" t="str">
        <f t="shared" si="25"/>
        <v>Db</v>
      </c>
      <c r="F127" s="27" t="str">
        <f t="shared" si="26"/>
        <v>Lr</v>
      </c>
      <c r="G127" s="25">
        <f t="shared" si="27"/>
        <v>0</v>
      </c>
      <c r="H127" s="14">
        <f t="shared" si="28"/>
        <v>0</v>
      </c>
      <c r="I127" s="342">
        <f t="shared" ca="1" si="29"/>
        <v>0</v>
      </c>
      <c r="J127" s="343">
        <f ca="1">SUMIF(KBNS,C127,JK)</f>
        <v>0</v>
      </c>
      <c r="K127" s="15">
        <f t="shared" ca="1" si="22"/>
        <v>0</v>
      </c>
      <c r="L127" s="326">
        <f t="shared" si="23"/>
        <v>0</v>
      </c>
    </row>
    <row r="128" spans="2:12" x14ac:dyDescent="0.3">
      <c r="B128">
        <f t="shared" si="21"/>
        <v>1</v>
      </c>
      <c r="C128" s="11">
        <f>'Formula (2)'!C127</f>
        <v>50012</v>
      </c>
      <c r="D128" s="12" t="str">
        <f t="shared" si="24"/>
        <v>Beban Listrik Dan Telepon</v>
      </c>
      <c r="E128" s="12" t="str">
        <f t="shared" si="25"/>
        <v>Db</v>
      </c>
      <c r="F128" s="27" t="str">
        <f t="shared" si="26"/>
        <v>Lr</v>
      </c>
      <c r="G128" s="25">
        <f t="shared" si="27"/>
        <v>0</v>
      </c>
      <c r="H128" s="14">
        <f t="shared" si="28"/>
        <v>0</v>
      </c>
      <c r="I128" s="342">
        <f t="shared" ca="1" si="29"/>
        <v>0</v>
      </c>
      <c r="J128" s="343">
        <f ca="1">SUMIF(KBNS,C128,JK)</f>
        <v>0</v>
      </c>
      <c r="K128" s="15">
        <f t="shared" ca="1" si="22"/>
        <v>0</v>
      </c>
      <c r="L128" s="326">
        <f t="shared" si="23"/>
        <v>0</v>
      </c>
    </row>
    <row r="129" spans="2:12" x14ac:dyDescent="0.3">
      <c r="B129">
        <f t="shared" si="21"/>
        <v>1</v>
      </c>
      <c r="C129" s="11">
        <f>'Formula (2)'!C128</f>
        <v>50013</v>
      </c>
      <c r="D129" s="12" t="str">
        <f t="shared" si="24"/>
        <v>Beban Peyusutan Mesin</v>
      </c>
      <c r="E129" s="12" t="str">
        <f t="shared" si="25"/>
        <v>Db</v>
      </c>
      <c r="F129" s="27" t="str">
        <f t="shared" si="26"/>
        <v>Lr</v>
      </c>
      <c r="G129" s="25">
        <f t="shared" si="27"/>
        <v>0</v>
      </c>
      <c r="H129" s="14">
        <f t="shared" si="28"/>
        <v>0</v>
      </c>
      <c r="I129" s="342">
        <f t="shared" ca="1" si="29"/>
        <v>0</v>
      </c>
      <c r="J129" s="343">
        <f ca="1">SUMIF(KBNS,C129,JK)</f>
        <v>0</v>
      </c>
      <c r="K129" s="15">
        <f t="shared" ca="1" si="22"/>
        <v>0</v>
      </c>
      <c r="L129" s="326">
        <f t="shared" si="23"/>
        <v>0</v>
      </c>
    </row>
    <row r="130" spans="2:12" x14ac:dyDescent="0.3">
      <c r="B130">
        <f t="shared" si="21"/>
        <v>1</v>
      </c>
      <c r="C130" s="11">
        <f>'Formula (2)'!C129</f>
        <v>50014</v>
      </c>
      <c r="D130" s="12" t="str">
        <f t="shared" si="24"/>
        <v>Beban Lain-</v>
      </c>
      <c r="E130" s="12" t="str">
        <f t="shared" si="25"/>
        <v>Db</v>
      </c>
      <c r="F130" s="27" t="str">
        <f t="shared" si="26"/>
        <v>Lr</v>
      </c>
      <c r="G130" s="25">
        <f t="shared" si="27"/>
        <v>0</v>
      </c>
      <c r="H130" s="14">
        <f t="shared" si="28"/>
        <v>0</v>
      </c>
      <c r="I130" s="342">
        <f t="shared" ca="1" si="29"/>
        <v>0</v>
      </c>
      <c r="J130" s="343">
        <f ca="1">SUMIF(KBNS,C130,JK)</f>
        <v>0</v>
      </c>
      <c r="K130" s="15">
        <f t="shared" ca="1" si="22"/>
        <v>0</v>
      </c>
      <c r="L130" s="326">
        <f t="shared" si="23"/>
        <v>0</v>
      </c>
    </row>
    <row r="131" spans="2:12" x14ac:dyDescent="0.3">
      <c r="B131">
        <f t="shared" si="21"/>
        <v>1</v>
      </c>
      <c r="C131" s="11">
        <f>'Formula (2)'!C130</f>
        <v>50015</v>
      </c>
      <c r="D131" s="12" t="str">
        <f t="shared" si="24"/>
        <v xml:space="preserve">Beban Penyusutan Kendaraan </v>
      </c>
      <c r="E131" s="12" t="str">
        <f t="shared" si="25"/>
        <v>Db</v>
      </c>
      <c r="F131" s="27" t="str">
        <f t="shared" si="26"/>
        <v>Lr</v>
      </c>
      <c r="G131" s="25">
        <f t="shared" si="27"/>
        <v>0</v>
      </c>
      <c r="H131" s="14">
        <f t="shared" si="28"/>
        <v>0</v>
      </c>
      <c r="I131" s="342">
        <f t="shared" ca="1" si="29"/>
        <v>0</v>
      </c>
      <c r="J131" s="343">
        <f ca="1">SUMIF(KBNS,C131,JK)</f>
        <v>0</v>
      </c>
      <c r="K131" s="15">
        <f t="shared" ca="1" si="22"/>
        <v>0</v>
      </c>
      <c r="L131" s="326">
        <f t="shared" si="23"/>
        <v>0</v>
      </c>
    </row>
    <row r="132" spans="2:12" x14ac:dyDescent="0.3">
      <c r="B132">
        <f t="shared" si="21"/>
        <v>1</v>
      </c>
      <c r="C132" s="11">
        <f>'Formula (2)'!C131</f>
        <v>50016</v>
      </c>
      <c r="D132" s="12" t="str">
        <f t="shared" si="24"/>
        <v>Potongan Pembelian</v>
      </c>
      <c r="E132" s="12" t="str">
        <f t="shared" si="25"/>
        <v>Db</v>
      </c>
      <c r="F132" s="27" t="str">
        <f t="shared" si="26"/>
        <v>Lr</v>
      </c>
      <c r="G132" s="25">
        <f t="shared" si="27"/>
        <v>0</v>
      </c>
      <c r="H132" s="14">
        <f t="shared" si="28"/>
        <v>0</v>
      </c>
      <c r="I132" s="342">
        <f t="shared" ca="1" si="29"/>
        <v>0</v>
      </c>
      <c r="J132" s="343">
        <f ca="1">SUMIF(KBNS,C132,JK)</f>
        <v>0</v>
      </c>
      <c r="K132" s="15">
        <f t="shared" ca="1" si="22"/>
        <v>0</v>
      </c>
      <c r="L132" s="326">
        <f t="shared" si="23"/>
        <v>0</v>
      </c>
    </row>
    <row r="133" spans="2:12" x14ac:dyDescent="0.3">
      <c r="B133">
        <f t="shared" si="21"/>
        <v>1</v>
      </c>
      <c r="C133" s="11">
        <f>'Formula (2)'!C132</f>
        <v>50017</v>
      </c>
      <c r="D133" s="12" t="str">
        <f t="shared" si="24"/>
        <v>Beban Penjualan</v>
      </c>
      <c r="E133" s="12" t="str">
        <f t="shared" si="25"/>
        <v>Db</v>
      </c>
      <c r="F133" s="27" t="str">
        <f t="shared" si="26"/>
        <v>Lr</v>
      </c>
      <c r="G133" s="25">
        <f t="shared" si="27"/>
        <v>0</v>
      </c>
      <c r="H133" s="14">
        <f t="shared" si="28"/>
        <v>0</v>
      </c>
      <c r="I133" s="342">
        <f t="shared" ca="1" si="29"/>
        <v>0</v>
      </c>
      <c r="J133" s="343">
        <f ca="1">SUMIF(KBNS,C133,JK)</f>
        <v>0</v>
      </c>
      <c r="K133" s="15">
        <f t="shared" ca="1" si="22"/>
        <v>0</v>
      </c>
      <c r="L133" s="326">
        <f t="shared" si="23"/>
        <v>0</v>
      </c>
    </row>
    <row r="134" spans="2:12" x14ac:dyDescent="0.3">
      <c r="B134">
        <f t="shared" si="21"/>
        <v>1</v>
      </c>
      <c r="C134" s="11">
        <f>'Formula (2)'!C133</f>
        <v>50018</v>
      </c>
      <c r="D134" s="12" t="str">
        <f t="shared" si="24"/>
        <v xml:space="preserve">Pajak Penghasilan </v>
      </c>
      <c r="E134" s="12" t="str">
        <f t="shared" si="25"/>
        <v>Db</v>
      </c>
      <c r="F134" s="27" t="str">
        <f t="shared" si="26"/>
        <v>Lr</v>
      </c>
      <c r="G134" s="25">
        <f t="shared" si="27"/>
        <v>0</v>
      </c>
      <c r="H134" s="14">
        <f t="shared" si="28"/>
        <v>0</v>
      </c>
      <c r="I134" s="342">
        <f t="shared" ca="1" si="29"/>
        <v>0</v>
      </c>
      <c r="J134" s="343">
        <f ca="1">SUMIF(KBNS,C134,JK)</f>
        <v>0</v>
      </c>
      <c r="K134" s="15">
        <f t="shared" ca="1" si="22"/>
        <v>0</v>
      </c>
      <c r="L134" s="326">
        <f t="shared" si="23"/>
        <v>0</v>
      </c>
    </row>
    <row r="135" spans="2:12" x14ac:dyDescent="0.3">
      <c r="B135">
        <f t="shared" si="21"/>
        <v>1</v>
      </c>
      <c r="C135" s="11">
        <f>'Formula (2)'!C134</f>
        <v>50019</v>
      </c>
      <c r="D135" s="12" t="str">
        <f t="shared" si="24"/>
        <v>Beban Penyusutan Peralatan toko</v>
      </c>
      <c r="E135" s="12" t="str">
        <f t="shared" si="25"/>
        <v>Db</v>
      </c>
      <c r="F135" s="27" t="str">
        <f t="shared" si="26"/>
        <v>Lr</v>
      </c>
      <c r="G135" s="25">
        <f t="shared" si="27"/>
        <v>0</v>
      </c>
      <c r="H135" s="14">
        <f t="shared" si="28"/>
        <v>0</v>
      </c>
      <c r="I135" s="342">
        <f t="shared" ca="1" si="29"/>
        <v>0</v>
      </c>
      <c r="J135" s="343">
        <f ca="1">SUMIF(KBNS,C135,JK)</f>
        <v>0</v>
      </c>
      <c r="K135" s="15">
        <f t="shared" ca="1" si="22"/>
        <v>0</v>
      </c>
      <c r="L135" s="326">
        <f t="shared" si="23"/>
        <v>0</v>
      </c>
    </row>
    <row r="136" spans="2:12" x14ac:dyDescent="0.3">
      <c r="B136">
        <f t="shared" si="21"/>
        <v>1</v>
      </c>
      <c r="C136" s="11">
        <f>'Formula (2)'!C135</f>
        <v>50020</v>
      </c>
      <c r="D136" s="12" t="str">
        <f t="shared" si="24"/>
        <v>Beban service</v>
      </c>
      <c r="E136" s="12" t="str">
        <f t="shared" si="25"/>
        <v>Db</v>
      </c>
      <c r="F136" s="27" t="str">
        <f t="shared" si="26"/>
        <v>Lr</v>
      </c>
      <c r="G136" s="25">
        <f t="shared" si="27"/>
        <v>0</v>
      </c>
      <c r="H136" s="14">
        <f t="shared" si="28"/>
        <v>0</v>
      </c>
      <c r="I136" s="342">
        <f t="shared" ca="1" si="29"/>
        <v>0</v>
      </c>
      <c r="J136" s="343">
        <f ca="1">SUMIF(KBNS,C136,JK)</f>
        <v>0</v>
      </c>
      <c r="K136" s="15">
        <f t="shared" ca="1" si="22"/>
        <v>0</v>
      </c>
      <c r="L136" s="326">
        <f t="shared" si="23"/>
        <v>0</v>
      </c>
    </row>
    <row r="137" spans="2:12" x14ac:dyDescent="0.3">
      <c r="B137">
        <f t="shared" ref="B137:B146" si="30">IF(D137=0,0,1)</f>
        <v>1</v>
      </c>
      <c r="C137" s="11">
        <f>'Formula (2)'!C136</f>
        <v>50021</v>
      </c>
      <c r="D137" s="12" t="str">
        <f t="shared" si="24"/>
        <v xml:space="preserve">Beban Akibat Bencana Alam </v>
      </c>
      <c r="E137" s="12" t="str">
        <f t="shared" si="25"/>
        <v>Db</v>
      </c>
      <c r="F137" s="27" t="str">
        <f t="shared" si="26"/>
        <v>Lr</v>
      </c>
      <c r="G137" s="25">
        <f t="shared" si="27"/>
        <v>0</v>
      </c>
      <c r="H137" s="14">
        <f t="shared" si="28"/>
        <v>0</v>
      </c>
      <c r="I137" s="342">
        <f t="shared" ca="1" si="29"/>
        <v>0</v>
      </c>
      <c r="J137" s="343">
        <f ca="1">SUMIF(KBNS,C137,JK)</f>
        <v>0</v>
      </c>
      <c r="K137" s="15">
        <f t="shared" ca="1" si="22"/>
        <v>0</v>
      </c>
      <c r="L137" s="326">
        <f t="shared" si="23"/>
        <v>0</v>
      </c>
    </row>
    <row r="138" spans="2:12" ht="15" thickBot="1" x14ac:dyDescent="0.35">
      <c r="B138">
        <f t="shared" si="30"/>
        <v>1</v>
      </c>
      <c r="C138" s="340">
        <f>'Formula (2)'!C137</f>
        <v>50022</v>
      </c>
      <c r="D138" s="334" t="str">
        <f t="shared" si="24"/>
        <v>Beban Administrasi</v>
      </c>
      <c r="E138" s="334" t="str">
        <f t="shared" si="25"/>
        <v>Db</v>
      </c>
      <c r="F138" s="341" t="str">
        <f t="shared" si="26"/>
        <v>Lr</v>
      </c>
      <c r="G138" s="25">
        <f t="shared" si="27"/>
        <v>0</v>
      </c>
      <c r="H138" s="14">
        <f t="shared" si="28"/>
        <v>0</v>
      </c>
      <c r="I138" s="344">
        <f t="shared" ca="1" si="29"/>
        <v>0</v>
      </c>
      <c r="J138" s="345">
        <f ca="1">SUMIF(KBNS,C138,JK)</f>
        <v>0</v>
      </c>
      <c r="K138" s="15">
        <f t="shared" ca="1" si="22"/>
        <v>0</v>
      </c>
      <c r="L138" s="326">
        <f t="shared" si="23"/>
        <v>0</v>
      </c>
    </row>
    <row r="139" spans="2:12" ht="15" hidden="1" thickBot="1" x14ac:dyDescent="0.35">
      <c r="B139">
        <f t="shared" si="30"/>
        <v>0</v>
      </c>
      <c r="C139" s="11">
        <f>'Formula (2)'!C138</f>
        <v>50023</v>
      </c>
      <c r="D139" s="12">
        <f t="shared" si="24"/>
        <v>0</v>
      </c>
      <c r="E139" s="12" t="str">
        <f t="shared" si="25"/>
        <v>Db</v>
      </c>
      <c r="F139" s="27" t="str">
        <f t="shared" si="26"/>
        <v>Nrc</v>
      </c>
      <c r="G139" s="25">
        <f t="shared" si="27"/>
        <v>0</v>
      </c>
      <c r="H139" s="14">
        <f t="shared" si="28"/>
        <v>0</v>
      </c>
      <c r="I139" s="16">
        <f t="shared" ca="1" si="29"/>
        <v>0</v>
      </c>
      <c r="J139" s="16">
        <f ca="1">SUMIF(KBNS,C139,JK)</f>
        <v>0</v>
      </c>
      <c r="K139" s="15">
        <f t="shared" ca="1" si="22"/>
        <v>0</v>
      </c>
      <c r="L139" s="326">
        <f t="shared" si="23"/>
        <v>0</v>
      </c>
    </row>
    <row r="140" spans="2:12" ht="15" hidden="1" thickBot="1" x14ac:dyDescent="0.35">
      <c r="B140">
        <f t="shared" si="30"/>
        <v>0</v>
      </c>
      <c r="C140" s="11">
        <f>'Formula (2)'!C139</f>
        <v>50024</v>
      </c>
      <c r="D140" s="12">
        <f t="shared" si="24"/>
        <v>0</v>
      </c>
      <c r="E140" s="12" t="str">
        <f t="shared" si="25"/>
        <v>Db</v>
      </c>
      <c r="F140" s="27" t="str">
        <f t="shared" si="26"/>
        <v>Nrc</v>
      </c>
      <c r="G140" s="25">
        <f t="shared" si="27"/>
        <v>0</v>
      </c>
      <c r="H140" s="14">
        <f t="shared" si="28"/>
        <v>0</v>
      </c>
      <c r="I140" s="16">
        <f t="shared" ca="1" si="29"/>
        <v>0</v>
      </c>
      <c r="J140" s="16">
        <f ca="1">SUMIF(KBNS,C140,JK)</f>
        <v>0</v>
      </c>
      <c r="K140" s="15">
        <f t="shared" ca="1" si="22"/>
        <v>0</v>
      </c>
      <c r="L140" s="326">
        <f t="shared" si="23"/>
        <v>0</v>
      </c>
    </row>
    <row r="141" spans="2:12" ht="15" hidden="1" thickBot="1" x14ac:dyDescent="0.35">
      <c r="B141">
        <f t="shared" si="30"/>
        <v>0</v>
      </c>
      <c r="C141" s="11">
        <f>'Formula (2)'!C140</f>
        <v>50025</v>
      </c>
      <c r="D141" s="12">
        <f t="shared" si="24"/>
        <v>0</v>
      </c>
      <c r="E141" s="12" t="str">
        <f t="shared" si="25"/>
        <v>Db</v>
      </c>
      <c r="F141" s="27" t="str">
        <f t="shared" si="26"/>
        <v>Nrc</v>
      </c>
      <c r="G141" s="25">
        <f t="shared" si="27"/>
        <v>0</v>
      </c>
      <c r="H141" s="14">
        <f t="shared" si="28"/>
        <v>0</v>
      </c>
      <c r="I141" s="16">
        <f t="shared" ca="1" si="29"/>
        <v>0</v>
      </c>
      <c r="J141" s="16">
        <f ca="1">SUMIF(KBNS,C141,JK)</f>
        <v>0</v>
      </c>
      <c r="K141" s="15">
        <f t="shared" ca="1" si="22"/>
        <v>0</v>
      </c>
      <c r="L141" s="326">
        <f t="shared" si="23"/>
        <v>0</v>
      </c>
    </row>
    <row r="142" spans="2:12" ht="15" hidden="1" thickBot="1" x14ac:dyDescent="0.35">
      <c r="B142">
        <f t="shared" si="30"/>
        <v>0</v>
      </c>
      <c r="C142" s="11">
        <f>'Formula (2)'!C141</f>
        <v>50026</v>
      </c>
      <c r="D142" s="12">
        <f t="shared" si="24"/>
        <v>0</v>
      </c>
      <c r="E142" s="12" t="str">
        <f t="shared" si="25"/>
        <v>Db</v>
      </c>
      <c r="F142" s="27" t="str">
        <f t="shared" si="26"/>
        <v>Nrc</v>
      </c>
      <c r="G142" s="25">
        <f t="shared" si="27"/>
        <v>0</v>
      </c>
      <c r="H142" s="14">
        <f t="shared" si="28"/>
        <v>0</v>
      </c>
      <c r="I142" s="16">
        <f t="shared" ca="1" si="29"/>
        <v>0</v>
      </c>
      <c r="J142" s="16">
        <f ca="1">SUMIF(KBNS,C142,JK)</f>
        <v>0</v>
      </c>
      <c r="K142" s="15">
        <f t="shared" ca="1" si="22"/>
        <v>0</v>
      </c>
      <c r="L142" s="326">
        <f t="shared" si="23"/>
        <v>0</v>
      </c>
    </row>
    <row r="143" spans="2:12" ht="15" hidden="1" thickBot="1" x14ac:dyDescent="0.35">
      <c r="B143">
        <f t="shared" si="30"/>
        <v>0</v>
      </c>
      <c r="C143" s="11">
        <f>'Formula (2)'!C142</f>
        <v>50027</v>
      </c>
      <c r="D143" s="12">
        <f t="shared" si="24"/>
        <v>0</v>
      </c>
      <c r="E143" s="12" t="str">
        <f t="shared" si="25"/>
        <v>Db</v>
      </c>
      <c r="F143" s="27" t="str">
        <f t="shared" si="26"/>
        <v>Nrc</v>
      </c>
      <c r="G143" s="25">
        <f t="shared" si="27"/>
        <v>0</v>
      </c>
      <c r="H143" s="14">
        <f t="shared" si="28"/>
        <v>0</v>
      </c>
      <c r="I143" s="16">
        <f t="shared" ca="1" si="29"/>
        <v>0</v>
      </c>
      <c r="J143" s="16">
        <f ca="1">SUMIF(KBNS,C143,JK)</f>
        <v>0</v>
      </c>
      <c r="K143" s="15">
        <f t="shared" ca="1" si="22"/>
        <v>0</v>
      </c>
      <c r="L143" s="326">
        <f t="shared" si="23"/>
        <v>0</v>
      </c>
    </row>
    <row r="144" spans="2:12" ht="15" hidden="1" thickBot="1" x14ac:dyDescent="0.35">
      <c r="B144">
        <f t="shared" si="30"/>
        <v>0</v>
      </c>
      <c r="C144" s="11">
        <f>'Formula (2)'!C143</f>
        <v>50028</v>
      </c>
      <c r="D144" s="12">
        <f t="shared" si="24"/>
        <v>0</v>
      </c>
      <c r="E144" s="12" t="str">
        <f t="shared" si="25"/>
        <v>Db</v>
      </c>
      <c r="F144" s="27" t="str">
        <f t="shared" si="26"/>
        <v>Nrc</v>
      </c>
      <c r="G144" s="25">
        <f t="shared" si="27"/>
        <v>0</v>
      </c>
      <c r="H144" s="14">
        <f t="shared" si="28"/>
        <v>0</v>
      </c>
      <c r="I144" s="16">
        <f t="shared" ca="1" si="29"/>
        <v>0</v>
      </c>
      <c r="J144" s="16">
        <f ca="1">SUMIF(KBNS,C144,JK)</f>
        <v>0</v>
      </c>
      <c r="K144" s="15">
        <f t="shared" ca="1" si="22"/>
        <v>0</v>
      </c>
      <c r="L144" s="326">
        <f t="shared" si="23"/>
        <v>0</v>
      </c>
    </row>
    <row r="145" spans="2:12" ht="15" hidden="1" thickBot="1" x14ac:dyDescent="0.35">
      <c r="B145">
        <f t="shared" si="30"/>
        <v>0</v>
      </c>
      <c r="C145" s="11">
        <f>'Formula (2)'!C144</f>
        <v>50029</v>
      </c>
      <c r="D145" s="12">
        <f t="shared" si="24"/>
        <v>0</v>
      </c>
      <c r="E145" s="12" t="str">
        <f t="shared" si="25"/>
        <v>Db</v>
      </c>
      <c r="F145" s="27" t="str">
        <f t="shared" si="26"/>
        <v>Nrc</v>
      </c>
      <c r="G145" s="25">
        <f t="shared" si="27"/>
        <v>0</v>
      </c>
      <c r="H145" s="14">
        <f t="shared" si="28"/>
        <v>0</v>
      </c>
      <c r="I145" s="16">
        <f t="shared" ca="1" si="29"/>
        <v>0</v>
      </c>
      <c r="J145" s="16">
        <f ca="1">SUMIF(KBNS,C145,JK)</f>
        <v>0</v>
      </c>
      <c r="K145" s="15">
        <f t="shared" ref="K145:K146" ca="1" si="31">IF(E145="Db",G145-H145+I145-J145,0)</f>
        <v>0</v>
      </c>
      <c r="L145" s="326">
        <f t="shared" ref="L145:L146" si="32">IF(E145="Kr",H145+J145-G145-I145,0)</f>
        <v>0</v>
      </c>
    </row>
    <row r="146" spans="2:12" ht="15" hidden="1" thickBot="1" x14ac:dyDescent="0.35">
      <c r="B146">
        <f t="shared" si="30"/>
        <v>0</v>
      </c>
      <c r="C146" s="11">
        <f>'Formula (2)'!C145</f>
        <v>50030</v>
      </c>
      <c r="D146" s="12">
        <f t="shared" si="24"/>
        <v>0</v>
      </c>
      <c r="E146" s="12" t="str">
        <f t="shared" si="25"/>
        <v>Db</v>
      </c>
      <c r="F146" s="27" t="str">
        <f t="shared" si="26"/>
        <v>Nrc</v>
      </c>
      <c r="G146" s="25">
        <f t="shared" si="27"/>
        <v>0</v>
      </c>
      <c r="H146" s="14">
        <f t="shared" si="28"/>
        <v>0</v>
      </c>
      <c r="I146" s="339">
        <f t="shared" ca="1" si="29"/>
        <v>0</v>
      </c>
      <c r="J146" s="339">
        <f ca="1">SUMIF(KBNS,C146,JK)</f>
        <v>0</v>
      </c>
      <c r="K146" s="15">
        <f t="shared" ca="1" si="31"/>
        <v>0</v>
      </c>
      <c r="L146" s="326">
        <f t="shared" si="32"/>
        <v>0</v>
      </c>
    </row>
    <row r="147" spans="2:12" ht="15" thickBot="1" x14ac:dyDescent="0.35">
      <c r="C147" s="45" t="s">
        <v>68</v>
      </c>
      <c r="D147" s="46"/>
      <c r="E147" s="47" t="s">
        <v>61</v>
      </c>
      <c r="F147" s="48"/>
      <c r="G147" s="26">
        <f>SUM(G9:G75)</f>
        <v>600000</v>
      </c>
      <c r="H147" s="337">
        <f>SUM(H9:H75)</f>
        <v>0</v>
      </c>
      <c r="I147" s="346">
        <f ca="1">SUM(I9:I77)</f>
        <v>20000</v>
      </c>
      <c r="J147" s="327">
        <f ca="1">SUM(J9:J77)</f>
        <v>20000</v>
      </c>
      <c r="K147" s="26">
        <f ca="1">SUM(K9:K78)</f>
        <v>600000</v>
      </c>
      <c r="L147" s="327">
        <f ca="1">SUM(L9:L77)</f>
        <v>0</v>
      </c>
    </row>
  </sheetData>
  <autoFilter ref="B7:B147" xr:uid="{D30F4026-61E7-4818-A09B-82952D5D5E0D}">
    <filterColumn colId="0">
      <filters blank="1">
        <filter val="1"/>
      </filters>
    </filterColumn>
  </autoFilter>
  <mergeCells count="9">
    <mergeCell ref="K6:L6"/>
    <mergeCell ref="C2:L2"/>
    <mergeCell ref="C3:L3"/>
    <mergeCell ref="C4:L4"/>
    <mergeCell ref="C5:L5"/>
    <mergeCell ref="C6:C7"/>
    <mergeCell ref="D6:D7"/>
    <mergeCell ref="G6:H6"/>
    <mergeCell ref="I6:J6"/>
  </mergeCells>
  <pageMargins left="0.7" right="0.7" top="0.75" bottom="0.75" header="0.3" footer="0.3"/>
  <pageSetup orientation="portrait" verticalDpi="0" r:id="rId1"/>
  <ignoredErrors>
    <ignoredError sqref="K14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DA22-106F-4715-A667-BE4161D3FA6F}">
  <dimension ref="A1:V149"/>
  <sheetViews>
    <sheetView zoomScale="115" zoomScaleNormal="115" workbookViewId="0">
      <pane xSplit="5" ySplit="7" topLeftCell="F8" activePane="bottomRight" state="frozen"/>
      <selection pane="topRight" activeCell="F1" sqref="F1"/>
      <selection pane="bottomLeft" activeCell="A8" sqref="A8"/>
      <selection pane="bottomRight" activeCell="A8" sqref="A8"/>
    </sheetView>
  </sheetViews>
  <sheetFormatPr defaultRowHeight="14.4" x14ac:dyDescent="0.3"/>
  <cols>
    <col min="3" max="3" width="31.21875" customWidth="1"/>
    <col min="5" max="5" width="8" customWidth="1"/>
    <col min="6" max="8" width="14.6640625" customWidth="1"/>
    <col min="9" max="9" width="14.77734375" customWidth="1"/>
    <col min="10" max="10" width="14.6640625" customWidth="1"/>
    <col min="11" max="11" width="15.88671875" customWidth="1"/>
    <col min="12" max="13" width="16.21875" customWidth="1"/>
    <col min="14" max="15" width="15" customWidth="1"/>
    <col min="16" max="16" width="13.44140625" bestFit="1" customWidth="1"/>
    <col min="17" max="17" width="13.88671875" customWidth="1"/>
    <col min="18" max="19" width="16" customWidth="1"/>
    <col min="21" max="21" width="13.109375" bestFit="1" customWidth="1"/>
    <col min="22" max="22" width="13.5546875" customWidth="1"/>
  </cols>
  <sheetData>
    <row r="1" spans="1:22" ht="15" thickBot="1" x14ac:dyDescent="0.35"/>
    <row r="2" spans="1:22" x14ac:dyDescent="0.3">
      <c r="B2" s="236" t="str">
        <f>'Ledger (4)'!D2</f>
        <v>CV Max Picture</v>
      </c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8"/>
    </row>
    <row r="3" spans="1:22" x14ac:dyDescent="0.3">
      <c r="B3" s="239" t="s">
        <v>62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40"/>
    </row>
    <row r="4" spans="1:22" ht="15" thickBot="1" x14ac:dyDescent="0.35">
      <c r="B4" s="241" t="str">
        <f>'Ledger (4)'!D5</f>
        <v>Periode Desember 2021</v>
      </c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3"/>
    </row>
    <row r="5" spans="1:22" ht="15" thickBot="1" x14ac:dyDescent="0.35">
      <c r="B5" s="244" t="str">
        <f>'Jurnal Umum (3)'!G5</f>
        <v>~ Dilarang keras merubah (Apapun) yang bukan menjadi kepentingan Anda !  ~</v>
      </c>
      <c r="C5" s="245"/>
      <c r="D5" s="245"/>
      <c r="E5" s="245"/>
      <c r="F5" s="245"/>
      <c r="G5" s="245"/>
      <c r="H5" s="245"/>
      <c r="I5" s="245"/>
      <c r="J5" s="245"/>
      <c r="K5" s="245"/>
      <c r="L5" s="245"/>
      <c r="M5" s="245"/>
      <c r="N5" s="245"/>
      <c r="O5" s="245"/>
      <c r="P5" s="245"/>
      <c r="Q5" s="245"/>
      <c r="R5" s="245"/>
      <c r="S5" s="246"/>
    </row>
    <row r="6" spans="1:22" x14ac:dyDescent="0.3">
      <c r="B6" s="247" t="s">
        <v>0</v>
      </c>
      <c r="C6" s="249" t="s">
        <v>1</v>
      </c>
      <c r="D6" s="249" t="s">
        <v>3</v>
      </c>
      <c r="E6" s="255" t="s">
        <v>2</v>
      </c>
      <c r="F6" s="232" t="s">
        <v>22</v>
      </c>
      <c r="G6" s="232"/>
      <c r="H6" s="232"/>
      <c r="I6" s="233"/>
      <c r="J6" s="234" t="s">
        <v>63</v>
      </c>
      <c r="K6" s="234"/>
      <c r="L6" s="234" t="s">
        <v>64</v>
      </c>
      <c r="M6" s="234"/>
      <c r="N6" s="234" t="s">
        <v>65</v>
      </c>
      <c r="O6" s="234"/>
      <c r="P6" s="234" t="s">
        <v>66</v>
      </c>
      <c r="Q6" s="234"/>
      <c r="R6" s="234" t="s">
        <v>67</v>
      </c>
      <c r="S6" s="235"/>
    </row>
    <row r="7" spans="1:22" ht="15" thickBot="1" x14ac:dyDescent="0.35">
      <c r="B7" s="248"/>
      <c r="C7" s="250"/>
      <c r="D7" s="250"/>
      <c r="E7" s="256"/>
      <c r="F7" s="24" t="s">
        <v>4</v>
      </c>
      <c r="G7" s="5" t="s">
        <v>5</v>
      </c>
      <c r="H7" s="5" t="s">
        <v>4</v>
      </c>
      <c r="I7" s="5" t="s">
        <v>5</v>
      </c>
      <c r="J7" s="5" t="s">
        <v>4</v>
      </c>
      <c r="K7" s="5" t="s">
        <v>5</v>
      </c>
      <c r="L7" s="5" t="s">
        <v>4</v>
      </c>
      <c r="M7" s="5" t="s">
        <v>5</v>
      </c>
      <c r="N7" s="5" t="s">
        <v>4</v>
      </c>
      <c r="O7" s="5" t="s">
        <v>5</v>
      </c>
      <c r="P7" s="5" t="s">
        <v>4</v>
      </c>
      <c r="Q7" s="5" t="s">
        <v>5</v>
      </c>
      <c r="R7" s="5" t="s">
        <v>4</v>
      </c>
      <c r="S7" s="6" t="s">
        <v>5</v>
      </c>
    </row>
    <row r="8" spans="1:22" x14ac:dyDescent="0.3">
      <c r="A8">
        <f>IF(C8=0,0,1)</f>
        <v>1</v>
      </c>
      <c r="B8" s="123">
        <f>'Formula (2)'!C7</f>
        <v>10000</v>
      </c>
      <c r="C8" s="12" t="str">
        <f t="shared" ref="C8" si="0">IF(B8="","",VLOOKUP(B8,daftarakun,2,0))</f>
        <v>Harta Lancar</v>
      </c>
      <c r="D8" s="12" t="str">
        <f t="shared" ref="D8" si="1">IF(B8="","",VLOOKUP(B8,daftarakun,4,0))</f>
        <v>Db</v>
      </c>
      <c r="E8" s="27" t="str">
        <f t="shared" ref="E8" si="2">IF(B8="","",VLOOKUP(B8,daftarakun,3,0))</f>
        <v>Nrc</v>
      </c>
      <c r="F8" s="25">
        <f t="shared" ref="F8" si="3">IF(B8="","",VLOOKUP(B8,daftarakun,5,0))</f>
        <v>0</v>
      </c>
      <c r="G8" s="14">
        <f t="shared" ref="G8" si="4">IF(B8="","",VLOOKUP(B8,daftarakun,6,0))</f>
        <v>0</v>
      </c>
      <c r="H8" s="16">
        <f t="shared" ref="H8" ca="1" si="5">SUMIF(KBNS,B8,JB)</f>
        <v>0</v>
      </c>
      <c r="I8" s="16">
        <f t="shared" ref="I8" ca="1" si="6">SUMIF(KBNS,B8,JK)</f>
        <v>0</v>
      </c>
      <c r="J8" s="15">
        <f ca="1">IF(D8="Db",F8+H8-G8-I8,0)</f>
        <v>0</v>
      </c>
      <c r="K8" s="16">
        <f>IF(D8="Kr",G8+I8-F8-H8,0)</f>
        <v>0</v>
      </c>
      <c r="L8" s="13">
        <f t="shared" ref="L8" ca="1" si="7">SUMIF(KBPNY,B8,JB)</f>
        <v>0</v>
      </c>
      <c r="M8" s="13">
        <f t="shared" ref="M8" ca="1" si="8">SUMIF(KBPNY,B8,JK)</f>
        <v>0</v>
      </c>
      <c r="N8" s="13">
        <f ca="1">IF(D8="Db",J8+L8-K8-M8,0)</f>
        <v>0</v>
      </c>
      <c r="O8" s="13">
        <f>IF(D8="Kr",K8+M8-J8-L8,0)</f>
        <v>0</v>
      </c>
      <c r="P8" s="13">
        <f>IF(E8="Lr",N8,0)</f>
        <v>0</v>
      </c>
      <c r="Q8" s="13">
        <f>IF(E8="Lr",O8,0)</f>
        <v>0</v>
      </c>
      <c r="R8" s="13">
        <f ca="1">IF(E8="Nrc",N8,0)</f>
        <v>0</v>
      </c>
      <c r="S8" s="17">
        <f>IF(E8="Nrc",O8,0)</f>
        <v>0</v>
      </c>
      <c r="U8" s="66"/>
      <c r="V8" s="66"/>
    </row>
    <row r="9" spans="1:22" x14ac:dyDescent="0.3">
      <c r="A9">
        <f t="shared" ref="A9:A72" si="9">IF(C9=0,0,1)</f>
        <v>1</v>
      </c>
      <c r="B9" s="123">
        <f>'Formula (2)'!C8</f>
        <v>10001</v>
      </c>
      <c r="C9" s="12" t="str">
        <f t="shared" ref="C9:C72" si="10">IF(B9="","",VLOOKUP(B9,daftarakun,2,0))</f>
        <v>Kas</v>
      </c>
      <c r="D9" s="12" t="str">
        <f t="shared" ref="D9:D72" si="11">IF(B9="","",VLOOKUP(B9,daftarakun,4,0))</f>
        <v>Db</v>
      </c>
      <c r="E9" s="27" t="str">
        <f t="shared" ref="E9:E72" si="12">IF(B9="","",VLOOKUP(B9,daftarakun,3,0))</f>
        <v>Nrc</v>
      </c>
      <c r="F9" s="25">
        <f t="shared" ref="F9:F72" si="13">IF(B9="","",VLOOKUP(B9,daftarakun,5,0))</f>
        <v>100000</v>
      </c>
      <c r="G9" s="14">
        <f t="shared" ref="G9:G72" si="14">IF(B9="","",VLOOKUP(B9,daftarakun,6,0))</f>
        <v>0</v>
      </c>
      <c r="H9" s="16">
        <f t="shared" ref="H9:H72" ca="1" si="15">SUMIF(KBNS,B9,JB)</f>
        <v>0</v>
      </c>
      <c r="I9" s="16">
        <f t="shared" ref="I9:I72" ca="1" si="16">SUMIF(KBNS,B9,JK)</f>
        <v>20000</v>
      </c>
      <c r="J9" s="15">
        <f t="shared" ref="J9:J72" ca="1" si="17">IF(D9="Db",F9+H9-G9-I9,0)</f>
        <v>80000</v>
      </c>
      <c r="K9" s="16">
        <f t="shared" ref="K9:K72" si="18">IF(D9="Kr",G9+I9-F9-H9,0)</f>
        <v>0</v>
      </c>
      <c r="L9" s="13">
        <f t="shared" ref="L9:L72" ca="1" si="19">SUMIF(KBPNY,B9,JB)</f>
        <v>0</v>
      </c>
      <c r="M9" s="13">
        <f t="shared" ref="M9:M72" ca="1" si="20">SUMIF(KBPNY,B9,JK)</f>
        <v>0</v>
      </c>
      <c r="N9" s="13">
        <f t="shared" ref="N9:N72" ca="1" si="21">IF(D9="Db",J9+L9-K9-M9,0)</f>
        <v>80000</v>
      </c>
      <c r="O9" s="13">
        <f t="shared" ref="O9:O72" si="22">IF(D9="Kr",K9+M9-J9-L9,0)</f>
        <v>0</v>
      </c>
      <c r="P9" s="13">
        <f t="shared" ref="P9:P72" si="23">IF(E9="Lr",N9,0)</f>
        <v>0</v>
      </c>
      <c r="Q9" s="13">
        <f t="shared" ref="Q9:Q72" si="24">IF(E9="Lr",O9,0)</f>
        <v>0</v>
      </c>
      <c r="R9" s="13">
        <f t="shared" ref="R9:R72" ca="1" si="25">IF(E9="Nrc",N9,0)</f>
        <v>80000</v>
      </c>
      <c r="S9" s="17">
        <f t="shared" ref="S9:S72" si="26">IF(E9="Nrc",O9,0)</f>
        <v>0</v>
      </c>
      <c r="V9" s="66"/>
    </row>
    <row r="10" spans="1:22" x14ac:dyDescent="0.3">
      <c r="A10">
        <f t="shared" si="9"/>
        <v>1</v>
      </c>
      <c r="B10" s="123">
        <f>'Formula (2)'!C9</f>
        <v>10002</v>
      </c>
      <c r="C10" s="12" t="str">
        <f t="shared" si="10"/>
        <v>Persediaan Barang Dagang</v>
      </c>
      <c r="D10" s="12" t="str">
        <f t="shared" si="11"/>
        <v>Db</v>
      </c>
      <c r="E10" s="27" t="str">
        <f t="shared" si="12"/>
        <v>Nrc</v>
      </c>
      <c r="F10" s="25">
        <f t="shared" si="13"/>
        <v>0</v>
      </c>
      <c r="G10" s="14">
        <f t="shared" si="14"/>
        <v>0</v>
      </c>
      <c r="H10" s="16">
        <f t="shared" ca="1" si="15"/>
        <v>0</v>
      </c>
      <c r="I10" s="16">
        <f t="shared" ca="1" si="16"/>
        <v>0</v>
      </c>
      <c r="J10" s="15">
        <f t="shared" ca="1" si="17"/>
        <v>0</v>
      </c>
      <c r="K10" s="16">
        <f t="shared" si="18"/>
        <v>0</v>
      </c>
      <c r="L10" s="13">
        <f t="shared" ca="1" si="19"/>
        <v>0</v>
      </c>
      <c r="M10" s="13">
        <f t="shared" ca="1" si="20"/>
        <v>0</v>
      </c>
      <c r="N10" s="13">
        <f t="shared" ca="1" si="21"/>
        <v>0</v>
      </c>
      <c r="O10" s="13">
        <f t="shared" si="22"/>
        <v>0</v>
      </c>
      <c r="P10" s="13">
        <f t="shared" si="23"/>
        <v>0</v>
      </c>
      <c r="Q10" s="13">
        <f t="shared" si="24"/>
        <v>0</v>
      </c>
      <c r="R10" s="13">
        <f t="shared" ca="1" si="25"/>
        <v>0</v>
      </c>
      <c r="S10" s="17">
        <f t="shared" si="26"/>
        <v>0</v>
      </c>
    </row>
    <row r="11" spans="1:22" x14ac:dyDescent="0.3">
      <c r="A11">
        <f t="shared" si="9"/>
        <v>1</v>
      </c>
      <c r="B11" s="123">
        <f>'Formula (2)'!C10</f>
        <v>10003</v>
      </c>
      <c r="C11" s="12" t="str">
        <f t="shared" si="10"/>
        <v>Piutang Usaha</v>
      </c>
      <c r="D11" s="12" t="str">
        <f t="shared" si="11"/>
        <v>Db</v>
      </c>
      <c r="E11" s="27" t="str">
        <f t="shared" si="12"/>
        <v>Nrc</v>
      </c>
      <c r="F11" s="25">
        <f t="shared" si="13"/>
        <v>500000</v>
      </c>
      <c r="G11" s="14">
        <f t="shared" si="14"/>
        <v>0</v>
      </c>
      <c r="H11" s="16">
        <f t="shared" ca="1" si="15"/>
        <v>0</v>
      </c>
      <c r="I11" s="16">
        <f t="shared" ca="1" si="16"/>
        <v>0</v>
      </c>
      <c r="J11" s="15">
        <f t="shared" ca="1" si="17"/>
        <v>500000</v>
      </c>
      <c r="K11" s="16">
        <f t="shared" si="18"/>
        <v>0</v>
      </c>
      <c r="L11" s="13">
        <f t="shared" ca="1" si="19"/>
        <v>0</v>
      </c>
      <c r="M11" s="13">
        <f t="shared" ca="1" si="20"/>
        <v>0</v>
      </c>
      <c r="N11" s="13">
        <f t="shared" ca="1" si="21"/>
        <v>500000</v>
      </c>
      <c r="O11" s="13">
        <f t="shared" si="22"/>
        <v>0</v>
      </c>
      <c r="P11" s="13">
        <f t="shared" si="23"/>
        <v>0</v>
      </c>
      <c r="Q11" s="13">
        <f t="shared" si="24"/>
        <v>0</v>
      </c>
      <c r="R11" s="13">
        <f t="shared" ca="1" si="25"/>
        <v>500000</v>
      </c>
      <c r="S11" s="17">
        <f t="shared" si="26"/>
        <v>0</v>
      </c>
      <c r="U11" s="66"/>
      <c r="V11" s="66"/>
    </row>
    <row r="12" spans="1:22" x14ac:dyDescent="0.3">
      <c r="A12">
        <f t="shared" si="9"/>
        <v>1</v>
      </c>
      <c r="B12" s="123">
        <f>'Formula (2)'!C11</f>
        <v>10004</v>
      </c>
      <c r="C12" s="12" t="str">
        <f t="shared" si="10"/>
        <v>Piutang Pendapatan</v>
      </c>
      <c r="D12" s="12" t="str">
        <f t="shared" si="11"/>
        <v>Db</v>
      </c>
      <c r="E12" s="27" t="str">
        <f t="shared" si="12"/>
        <v>Nrc</v>
      </c>
      <c r="F12" s="25">
        <f t="shared" si="13"/>
        <v>0</v>
      </c>
      <c r="G12" s="14">
        <f t="shared" si="14"/>
        <v>0</v>
      </c>
      <c r="H12" s="16">
        <f t="shared" ca="1" si="15"/>
        <v>0</v>
      </c>
      <c r="I12" s="16">
        <f t="shared" ca="1" si="16"/>
        <v>0</v>
      </c>
      <c r="J12" s="15">
        <f t="shared" ca="1" si="17"/>
        <v>0</v>
      </c>
      <c r="K12" s="16">
        <f t="shared" si="18"/>
        <v>0</v>
      </c>
      <c r="L12" s="13">
        <f t="shared" ca="1" si="19"/>
        <v>0</v>
      </c>
      <c r="M12" s="13">
        <f t="shared" ca="1" si="20"/>
        <v>0</v>
      </c>
      <c r="N12" s="13">
        <f t="shared" ca="1" si="21"/>
        <v>0</v>
      </c>
      <c r="O12" s="13">
        <f t="shared" si="22"/>
        <v>0</v>
      </c>
      <c r="P12" s="13">
        <f t="shared" si="23"/>
        <v>0</v>
      </c>
      <c r="Q12" s="13">
        <f t="shared" si="24"/>
        <v>0</v>
      </c>
      <c r="R12" s="13">
        <f t="shared" ca="1" si="25"/>
        <v>0</v>
      </c>
      <c r="S12" s="17">
        <f t="shared" si="26"/>
        <v>0</v>
      </c>
      <c r="V12" s="66"/>
    </row>
    <row r="13" spans="1:22" x14ac:dyDescent="0.3">
      <c r="A13">
        <f t="shared" si="9"/>
        <v>1</v>
      </c>
      <c r="B13" s="123">
        <f>'Formula (2)'!C12</f>
        <v>10005</v>
      </c>
      <c r="C13" s="12" t="str">
        <f t="shared" si="10"/>
        <v>Wesel Tagih</v>
      </c>
      <c r="D13" s="12" t="str">
        <f t="shared" si="11"/>
        <v>Db</v>
      </c>
      <c r="E13" s="27" t="str">
        <f t="shared" si="12"/>
        <v>Nrc</v>
      </c>
      <c r="F13" s="25">
        <f t="shared" si="13"/>
        <v>0</v>
      </c>
      <c r="G13" s="14">
        <f t="shared" si="14"/>
        <v>0</v>
      </c>
      <c r="H13" s="16">
        <f t="shared" ca="1" si="15"/>
        <v>0</v>
      </c>
      <c r="I13" s="16">
        <f t="shared" ca="1" si="16"/>
        <v>0</v>
      </c>
      <c r="J13" s="15">
        <f t="shared" ca="1" si="17"/>
        <v>0</v>
      </c>
      <c r="K13" s="16">
        <f t="shared" si="18"/>
        <v>0</v>
      </c>
      <c r="L13" s="13">
        <f t="shared" ca="1" si="19"/>
        <v>0</v>
      </c>
      <c r="M13" s="13">
        <f t="shared" ca="1" si="20"/>
        <v>0</v>
      </c>
      <c r="N13" s="13">
        <f t="shared" ca="1" si="21"/>
        <v>0</v>
      </c>
      <c r="O13" s="13">
        <f t="shared" si="22"/>
        <v>0</v>
      </c>
      <c r="P13" s="13">
        <f t="shared" si="23"/>
        <v>0</v>
      </c>
      <c r="Q13" s="13">
        <f t="shared" si="24"/>
        <v>0</v>
      </c>
      <c r="R13" s="13">
        <f t="shared" ca="1" si="25"/>
        <v>0</v>
      </c>
      <c r="S13" s="17">
        <f t="shared" si="26"/>
        <v>0</v>
      </c>
      <c r="U13" s="66"/>
      <c r="V13" s="66"/>
    </row>
    <row r="14" spans="1:22" x14ac:dyDescent="0.3">
      <c r="A14">
        <f t="shared" si="9"/>
        <v>1</v>
      </c>
      <c r="B14" s="123">
        <f>'Formula (2)'!C13</f>
        <v>10006</v>
      </c>
      <c r="C14" s="12" t="str">
        <f t="shared" si="10"/>
        <v>Perlengkapan Kantor</v>
      </c>
      <c r="D14" s="12" t="str">
        <f t="shared" si="11"/>
        <v>Db</v>
      </c>
      <c r="E14" s="27" t="str">
        <f t="shared" si="12"/>
        <v>Nrc</v>
      </c>
      <c r="F14" s="25">
        <f t="shared" si="13"/>
        <v>0</v>
      </c>
      <c r="G14" s="14">
        <f t="shared" si="14"/>
        <v>0</v>
      </c>
      <c r="H14" s="16">
        <f t="shared" ca="1" si="15"/>
        <v>20000</v>
      </c>
      <c r="I14" s="16">
        <f t="shared" ca="1" si="16"/>
        <v>0</v>
      </c>
      <c r="J14" s="15">
        <f t="shared" ca="1" si="17"/>
        <v>20000</v>
      </c>
      <c r="K14" s="16">
        <f t="shared" si="18"/>
        <v>0</v>
      </c>
      <c r="L14" s="13">
        <f t="shared" ca="1" si="19"/>
        <v>0</v>
      </c>
      <c r="M14" s="13">
        <f t="shared" ca="1" si="20"/>
        <v>10000</v>
      </c>
      <c r="N14" s="13">
        <f t="shared" ca="1" si="21"/>
        <v>10000</v>
      </c>
      <c r="O14" s="13">
        <f t="shared" si="22"/>
        <v>0</v>
      </c>
      <c r="P14" s="13">
        <f t="shared" si="23"/>
        <v>0</v>
      </c>
      <c r="Q14" s="13">
        <f t="shared" si="24"/>
        <v>0</v>
      </c>
      <c r="R14" s="13">
        <f t="shared" ca="1" si="25"/>
        <v>10000</v>
      </c>
      <c r="S14" s="17">
        <f t="shared" si="26"/>
        <v>0</v>
      </c>
      <c r="V14" s="66"/>
    </row>
    <row r="15" spans="1:22" x14ac:dyDescent="0.3">
      <c r="A15">
        <f t="shared" si="9"/>
        <v>1</v>
      </c>
      <c r="B15" s="123">
        <f>'Formula (2)'!C14</f>
        <v>10007</v>
      </c>
      <c r="C15" s="12" t="str">
        <f t="shared" si="10"/>
        <v>Perlengkapan Toko</v>
      </c>
      <c r="D15" s="12" t="str">
        <f t="shared" si="11"/>
        <v>Db</v>
      </c>
      <c r="E15" s="27" t="str">
        <f t="shared" si="12"/>
        <v>Nrc</v>
      </c>
      <c r="F15" s="25">
        <f t="shared" si="13"/>
        <v>0</v>
      </c>
      <c r="G15" s="14">
        <f t="shared" si="14"/>
        <v>0</v>
      </c>
      <c r="H15" s="16">
        <f t="shared" ca="1" si="15"/>
        <v>0</v>
      </c>
      <c r="I15" s="16">
        <f t="shared" ca="1" si="16"/>
        <v>0</v>
      </c>
      <c r="J15" s="15">
        <f t="shared" ca="1" si="17"/>
        <v>0</v>
      </c>
      <c r="K15" s="16">
        <f t="shared" si="18"/>
        <v>0</v>
      </c>
      <c r="L15" s="13">
        <f t="shared" ca="1" si="19"/>
        <v>0</v>
      </c>
      <c r="M15" s="13">
        <f t="shared" ca="1" si="20"/>
        <v>0</v>
      </c>
      <c r="N15" s="13">
        <f t="shared" ca="1" si="21"/>
        <v>0</v>
      </c>
      <c r="O15" s="13">
        <f t="shared" si="22"/>
        <v>0</v>
      </c>
      <c r="P15" s="13">
        <f t="shared" si="23"/>
        <v>0</v>
      </c>
      <c r="Q15" s="13">
        <f t="shared" si="24"/>
        <v>0</v>
      </c>
      <c r="R15" s="13">
        <f t="shared" ca="1" si="25"/>
        <v>0</v>
      </c>
      <c r="S15" s="17">
        <f t="shared" si="26"/>
        <v>0</v>
      </c>
      <c r="V15" s="66"/>
    </row>
    <row r="16" spans="1:22" x14ac:dyDescent="0.3">
      <c r="A16">
        <f t="shared" si="9"/>
        <v>1</v>
      </c>
      <c r="B16" s="123">
        <f>'Formula (2)'!C15</f>
        <v>10008</v>
      </c>
      <c r="C16" s="12" t="str">
        <f t="shared" si="10"/>
        <v>Iklan Dibayar Dimuka</v>
      </c>
      <c r="D16" s="12" t="str">
        <f t="shared" si="11"/>
        <v>Db</v>
      </c>
      <c r="E16" s="27" t="str">
        <f t="shared" si="12"/>
        <v>Nrc</v>
      </c>
      <c r="F16" s="25">
        <f t="shared" si="13"/>
        <v>0</v>
      </c>
      <c r="G16" s="14">
        <f t="shared" si="14"/>
        <v>0</v>
      </c>
      <c r="H16" s="16">
        <f t="shared" ca="1" si="15"/>
        <v>0</v>
      </c>
      <c r="I16" s="16">
        <f t="shared" ca="1" si="16"/>
        <v>0</v>
      </c>
      <c r="J16" s="15">
        <f t="shared" ca="1" si="17"/>
        <v>0</v>
      </c>
      <c r="K16" s="16">
        <f t="shared" si="18"/>
        <v>0</v>
      </c>
      <c r="L16" s="13">
        <f t="shared" ca="1" si="19"/>
        <v>0</v>
      </c>
      <c r="M16" s="13">
        <f t="shared" ca="1" si="20"/>
        <v>0</v>
      </c>
      <c r="N16" s="13">
        <f t="shared" ca="1" si="21"/>
        <v>0</v>
      </c>
      <c r="O16" s="13">
        <f t="shared" si="22"/>
        <v>0</v>
      </c>
      <c r="P16" s="13">
        <f t="shared" si="23"/>
        <v>0</v>
      </c>
      <c r="Q16" s="13">
        <f t="shared" si="24"/>
        <v>0</v>
      </c>
      <c r="R16" s="13">
        <f t="shared" ca="1" si="25"/>
        <v>0</v>
      </c>
      <c r="S16" s="17">
        <f t="shared" si="26"/>
        <v>0</v>
      </c>
    </row>
    <row r="17" spans="1:21" x14ac:dyDescent="0.3">
      <c r="A17">
        <f t="shared" si="9"/>
        <v>1</v>
      </c>
      <c r="B17" s="123">
        <f>'Formula (2)'!C16</f>
        <v>10009</v>
      </c>
      <c r="C17" s="12" t="str">
        <f t="shared" si="10"/>
        <v>Sewa Dibayar Dimuka</v>
      </c>
      <c r="D17" s="12" t="str">
        <f t="shared" si="11"/>
        <v>Db</v>
      </c>
      <c r="E17" s="27" t="str">
        <f t="shared" si="12"/>
        <v>Nrc</v>
      </c>
      <c r="F17" s="25">
        <f t="shared" si="13"/>
        <v>0</v>
      </c>
      <c r="G17" s="14">
        <f t="shared" si="14"/>
        <v>0</v>
      </c>
      <c r="H17" s="16">
        <f t="shared" ca="1" si="15"/>
        <v>0</v>
      </c>
      <c r="I17" s="16">
        <f t="shared" ca="1" si="16"/>
        <v>0</v>
      </c>
      <c r="J17" s="15">
        <f t="shared" ca="1" si="17"/>
        <v>0</v>
      </c>
      <c r="K17" s="16">
        <f t="shared" si="18"/>
        <v>0</v>
      </c>
      <c r="L17" s="13">
        <f t="shared" ca="1" si="19"/>
        <v>0</v>
      </c>
      <c r="M17" s="13">
        <f t="shared" ca="1" si="20"/>
        <v>0</v>
      </c>
      <c r="N17" s="13">
        <f t="shared" ca="1" si="21"/>
        <v>0</v>
      </c>
      <c r="O17" s="13">
        <f t="shared" si="22"/>
        <v>0</v>
      </c>
      <c r="P17" s="13">
        <f t="shared" si="23"/>
        <v>0</v>
      </c>
      <c r="Q17" s="13">
        <f t="shared" si="24"/>
        <v>0</v>
      </c>
      <c r="R17" s="13">
        <f t="shared" ca="1" si="25"/>
        <v>0</v>
      </c>
      <c r="S17" s="17">
        <f t="shared" si="26"/>
        <v>0</v>
      </c>
    </row>
    <row r="18" spans="1:21" x14ac:dyDescent="0.3">
      <c r="A18">
        <f t="shared" si="9"/>
        <v>1</v>
      </c>
      <c r="B18" s="123">
        <f>'Formula (2)'!C17</f>
        <v>10010</v>
      </c>
      <c r="C18" s="12" t="str">
        <f t="shared" si="10"/>
        <v>Asuransi Dibayar Dimuka</v>
      </c>
      <c r="D18" s="12" t="str">
        <f t="shared" si="11"/>
        <v>Db</v>
      </c>
      <c r="E18" s="27" t="str">
        <f t="shared" si="12"/>
        <v>Nrc</v>
      </c>
      <c r="F18" s="25">
        <f t="shared" si="13"/>
        <v>0</v>
      </c>
      <c r="G18" s="14">
        <f t="shared" si="14"/>
        <v>0</v>
      </c>
      <c r="H18" s="16">
        <f t="shared" ca="1" si="15"/>
        <v>0</v>
      </c>
      <c r="I18" s="16">
        <f t="shared" ca="1" si="16"/>
        <v>0</v>
      </c>
      <c r="J18" s="15">
        <f t="shared" ca="1" si="17"/>
        <v>0</v>
      </c>
      <c r="K18" s="16">
        <f t="shared" si="18"/>
        <v>0</v>
      </c>
      <c r="L18" s="13">
        <f t="shared" ca="1" si="19"/>
        <v>0</v>
      </c>
      <c r="M18" s="13">
        <f t="shared" ca="1" si="20"/>
        <v>0</v>
      </c>
      <c r="N18" s="13">
        <f t="shared" ca="1" si="21"/>
        <v>0</v>
      </c>
      <c r="O18" s="13">
        <f t="shared" si="22"/>
        <v>0</v>
      </c>
      <c r="P18" s="13">
        <f t="shared" si="23"/>
        <v>0</v>
      </c>
      <c r="Q18" s="13">
        <f t="shared" si="24"/>
        <v>0</v>
      </c>
      <c r="R18" s="13">
        <f t="shared" ca="1" si="25"/>
        <v>0</v>
      </c>
      <c r="S18" s="17">
        <f t="shared" si="26"/>
        <v>0</v>
      </c>
    </row>
    <row r="19" spans="1:21" x14ac:dyDescent="0.3">
      <c r="A19">
        <f t="shared" si="9"/>
        <v>0</v>
      </c>
      <c r="B19" s="123">
        <f>'Formula (2)'!C18</f>
        <v>10011</v>
      </c>
      <c r="C19" s="12">
        <f t="shared" si="10"/>
        <v>0</v>
      </c>
      <c r="D19" s="12" t="str">
        <f t="shared" si="11"/>
        <v>Db</v>
      </c>
      <c r="E19" s="27" t="str">
        <f t="shared" si="12"/>
        <v>Nrc</v>
      </c>
      <c r="F19" s="25">
        <f t="shared" si="13"/>
        <v>0</v>
      </c>
      <c r="G19" s="14">
        <f t="shared" si="14"/>
        <v>0</v>
      </c>
      <c r="H19" s="16">
        <f t="shared" ca="1" si="15"/>
        <v>0</v>
      </c>
      <c r="I19" s="16">
        <f t="shared" ca="1" si="16"/>
        <v>0</v>
      </c>
      <c r="J19" s="15">
        <f t="shared" ca="1" si="17"/>
        <v>0</v>
      </c>
      <c r="K19" s="16">
        <f t="shared" si="18"/>
        <v>0</v>
      </c>
      <c r="L19" s="13">
        <f t="shared" ca="1" si="19"/>
        <v>0</v>
      </c>
      <c r="M19" s="13">
        <f t="shared" ca="1" si="20"/>
        <v>0</v>
      </c>
      <c r="N19" s="13">
        <f t="shared" ca="1" si="21"/>
        <v>0</v>
      </c>
      <c r="O19" s="13">
        <f t="shared" si="22"/>
        <v>0</v>
      </c>
      <c r="P19" s="13">
        <f t="shared" si="23"/>
        <v>0</v>
      </c>
      <c r="Q19" s="13">
        <f t="shared" si="24"/>
        <v>0</v>
      </c>
      <c r="R19" s="13">
        <f t="shared" ca="1" si="25"/>
        <v>0</v>
      </c>
      <c r="S19" s="17">
        <f t="shared" si="26"/>
        <v>0</v>
      </c>
    </row>
    <row r="20" spans="1:21" x14ac:dyDescent="0.3">
      <c r="A20">
        <f t="shared" si="9"/>
        <v>0</v>
      </c>
      <c r="B20" s="123">
        <f>'Formula (2)'!C19</f>
        <v>10012</v>
      </c>
      <c r="C20" s="12">
        <f t="shared" si="10"/>
        <v>0</v>
      </c>
      <c r="D20" s="12" t="str">
        <f t="shared" si="11"/>
        <v>Db</v>
      </c>
      <c r="E20" s="27" t="str">
        <f t="shared" si="12"/>
        <v>Nrc</v>
      </c>
      <c r="F20" s="25">
        <f t="shared" si="13"/>
        <v>0</v>
      </c>
      <c r="G20" s="14">
        <f t="shared" si="14"/>
        <v>0</v>
      </c>
      <c r="H20" s="16">
        <f t="shared" ca="1" si="15"/>
        <v>0</v>
      </c>
      <c r="I20" s="16">
        <f t="shared" ca="1" si="16"/>
        <v>0</v>
      </c>
      <c r="J20" s="15">
        <f t="shared" ca="1" si="17"/>
        <v>0</v>
      </c>
      <c r="K20" s="16">
        <f t="shared" si="18"/>
        <v>0</v>
      </c>
      <c r="L20" s="13">
        <f t="shared" ca="1" si="19"/>
        <v>0</v>
      </c>
      <c r="M20" s="13">
        <f t="shared" ca="1" si="20"/>
        <v>0</v>
      </c>
      <c r="N20" s="13">
        <f t="shared" ca="1" si="21"/>
        <v>0</v>
      </c>
      <c r="O20" s="13">
        <f t="shared" si="22"/>
        <v>0</v>
      </c>
      <c r="P20" s="13">
        <f t="shared" si="23"/>
        <v>0</v>
      </c>
      <c r="Q20" s="13">
        <f t="shared" si="24"/>
        <v>0</v>
      </c>
      <c r="R20" s="13">
        <f t="shared" ca="1" si="25"/>
        <v>0</v>
      </c>
      <c r="S20" s="17">
        <f t="shared" si="26"/>
        <v>0</v>
      </c>
    </row>
    <row r="21" spans="1:21" x14ac:dyDescent="0.3">
      <c r="A21">
        <f t="shared" si="9"/>
        <v>0</v>
      </c>
      <c r="B21" s="123">
        <f>'Formula (2)'!C20</f>
        <v>10013</v>
      </c>
      <c r="C21" s="12">
        <f t="shared" si="10"/>
        <v>0</v>
      </c>
      <c r="D21" s="12" t="str">
        <f t="shared" si="11"/>
        <v>Db</v>
      </c>
      <c r="E21" s="27" t="str">
        <f t="shared" si="12"/>
        <v>Nrc</v>
      </c>
      <c r="F21" s="25">
        <f t="shared" si="13"/>
        <v>0</v>
      </c>
      <c r="G21" s="14">
        <f t="shared" si="14"/>
        <v>0</v>
      </c>
      <c r="H21" s="16">
        <f t="shared" ca="1" si="15"/>
        <v>0</v>
      </c>
      <c r="I21" s="16">
        <f t="shared" ca="1" si="16"/>
        <v>0</v>
      </c>
      <c r="J21" s="15">
        <f t="shared" ca="1" si="17"/>
        <v>0</v>
      </c>
      <c r="K21" s="16">
        <f t="shared" si="18"/>
        <v>0</v>
      </c>
      <c r="L21" s="13">
        <f t="shared" ca="1" si="19"/>
        <v>0</v>
      </c>
      <c r="M21" s="13">
        <f t="shared" ca="1" si="20"/>
        <v>0</v>
      </c>
      <c r="N21" s="13">
        <f t="shared" ca="1" si="21"/>
        <v>0</v>
      </c>
      <c r="O21" s="13">
        <f t="shared" si="22"/>
        <v>0</v>
      </c>
      <c r="P21" s="13">
        <f t="shared" si="23"/>
        <v>0</v>
      </c>
      <c r="Q21" s="13">
        <f t="shared" si="24"/>
        <v>0</v>
      </c>
      <c r="R21" s="13">
        <f t="shared" ca="1" si="25"/>
        <v>0</v>
      </c>
      <c r="S21" s="17">
        <f t="shared" si="26"/>
        <v>0</v>
      </c>
    </row>
    <row r="22" spans="1:21" x14ac:dyDescent="0.3">
      <c r="A22">
        <f t="shared" si="9"/>
        <v>0</v>
      </c>
      <c r="B22" s="123">
        <f>'Formula (2)'!C21</f>
        <v>10014</v>
      </c>
      <c r="C22" s="12">
        <f t="shared" si="10"/>
        <v>0</v>
      </c>
      <c r="D22" s="12" t="str">
        <f t="shared" si="11"/>
        <v>Db</v>
      </c>
      <c r="E22" s="27" t="str">
        <f t="shared" si="12"/>
        <v>Nrc</v>
      </c>
      <c r="F22" s="25">
        <f t="shared" si="13"/>
        <v>0</v>
      </c>
      <c r="G22" s="14">
        <f t="shared" si="14"/>
        <v>0</v>
      </c>
      <c r="H22" s="16">
        <f t="shared" ca="1" si="15"/>
        <v>0</v>
      </c>
      <c r="I22" s="16">
        <f t="shared" ca="1" si="16"/>
        <v>0</v>
      </c>
      <c r="J22" s="15">
        <f t="shared" ca="1" si="17"/>
        <v>0</v>
      </c>
      <c r="K22" s="16">
        <f t="shared" si="18"/>
        <v>0</v>
      </c>
      <c r="L22" s="13">
        <f t="shared" ca="1" si="19"/>
        <v>0</v>
      </c>
      <c r="M22" s="13">
        <f t="shared" ca="1" si="20"/>
        <v>0</v>
      </c>
      <c r="N22" s="13">
        <f t="shared" ca="1" si="21"/>
        <v>0</v>
      </c>
      <c r="O22" s="13">
        <f t="shared" si="22"/>
        <v>0</v>
      </c>
      <c r="P22" s="13">
        <f t="shared" si="23"/>
        <v>0</v>
      </c>
      <c r="Q22" s="13">
        <f t="shared" si="24"/>
        <v>0</v>
      </c>
      <c r="R22" s="13">
        <f t="shared" ca="1" si="25"/>
        <v>0</v>
      </c>
      <c r="S22" s="17">
        <f t="shared" si="26"/>
        <v>0</v>
      </c>
    </row>
    <row r="23" spans="1:21" x14ac:dyDescent="0.3">
      <c r="A23">
        <f t="shared" si="9"/>
        <v>0</v>
      </c>
      <c r="B23" s="123">
        <f>'Formula (2)'!C22</f>
        <v>10015</v>
      </c>
      <c r="C23" s="12">
        <f t="shared" si="10"/>
        <v>0</v>
      </c>
      <c r="D23" s="12" t="str">
        <f t="shared" si="11"/>
        <v>Db</v>
      </c>
      <c r="E23" s="27" t="str">
        <f t="shared" si="12"/>
        <v>Nrc</v>
      </c>
      <c r="F23" s="25">
        <f t="shared" si="13"/>
        <v>0</v>
      </c>
      <c r="G23" s="14">
        <f t="shared" si="14"/>
        <v>0</v>
      </c>
      <c r="H23" s="16">
        <f t="shared" ca="1" si="15"/>
        <v>0</v>
      </c>
      <c r="I23" s="16">
        <f t="shared" ca="1" si="16"/>
        <v>0</v>
      </c>
      <c r="J23" s="15">
        <f t="shared" ca="1" si="17"/>
        <v>0</v>
      </c>
      <c r="K23" s="16">
        <f t="shared" si="18"/>
        <v>0</v>
      </c>
      <c r="L23" s="13">
        <f t="shared" ca="1" si="19"/>
        <v>0</v>
      </c>
      <c r="M23" s="13">
        <f t="shared" ca="1" si="20"/>
        <v>0</v>
      </c>
      <c r="N23" s="13">
        <f t="shared" ca="1" si="21"/>
        <v>0</v>
      </c>
      <c r="O23" s="13">
        <f t="shared" si="22"/>
        <v>0</v>
      </c>
      <c r="P23" s="13">
        <f t="shared" si="23"/>
        <v>0</v>
      </c>
      <c r="Q23" s="13">
        <f t="shared" si="24"/>
        <v>0</v>
      </c>
      <c r="R23" s="13">
        <f t="shared" ca="1" si="25"/>
        <v>0</v>
      </c>
      <c r="S23" s="17">
        <f t="shared" si="26"/>
        <v>0</v>
      </c>
    </row>
    <row r="24" spans="1:21" x14ac:dyDescent="0.3">
      <c r="A24">
        <f t="shared" si="9"/>
        <v>0</v>
      </c>
      <c r="B24" s="123">
        <f>'Formula (2)'!C23</f>
        <v>10016</v>
      </c>
      <c r="C24" s="12">
        <f t="shared" si="10"/>
        <v>0</v>
      </c>
      <c r="D24" s="12" t="str">
        <f t="shared" si="11"/>
        <v>Db</v>
      </c>
      <c r="E24" s="27" t="str">
        <f t="shared" si="12"/>
        <v>Nrc</v>
      </c>
      <c r="F24" s="25">
        <f t="shared" si="13"/>
        <v>0</v>
      </c>
      <c r="G24" s="14">
        <f t="shared" si="14"/>
        <v>0</v>
      </c>
      <c r="H24" s="16">
        <f t="shared" ca="1" si="15"/>
        <v>0</v>
      </c>
      <c r="I24" s="16">
        <f t="shared" ca="1" si="16"/>
        <v>0</v>
      </c>
      <c r="J24" s="15">
        <f t="shared" ca="1" si="17"/>
        <v>0</v>
      </c>
      <c r="K24" s="16">
        <f t="shared" si="18"/>
        <v>0</v>
      </c>
      <c r="L24" s="13">
        <f t="shared" ca="1" si="19"/>
        <v>0</v>
      </c>
      <c r="M24" s="13">
        <f t="shared" ca="1" si="20"/>
        <v>0</v>
      </c>
      <c r="N24" s="13">
        <f t="shared" ca="1" si="21"/>
        <v>0</v>
      </c>
      <c r="O24" s="13">
        <f t="shared" si="22"/>
        <v>0</v>
      </c>
      <c r="P24" s="13">
        <f t="shared" si="23"/>
        <v>0</v>
      </c>
      <c r="Q24" s="13">
        <f t="shared" si="24"/>
        <v>0</v>
      </c>
      <c r="R24" s="13">
        <f t="shared" ca="1" si="25"/>
        <v>0</v>
      </c>
      <c r="S24" s="17">
        <f t="shared" si="26"/>
        <v>0</v>
      </c>
    </row>
    <row r="25" spans="1:21" x14ac:dyDescent="0.3">
      <c r="A25">
        <f t="shared" si="9"/>
        <v>0</v>
      </c>
      <c r="B25" s="123">
        <f>'Formula (2)'!C24</f>
        <v>10017</v>
      </c>
      <c r="C25" s="12">
        <f t="shared" si="10"/>
        <v>0</v>
      </c>
      <c r="D25" s="12" t="str">
        <f t="shared" si="11"/>
        <v>Db</v>
      </c>
      <c r="E25" s="27" t="str">
        <f t="shared" si="12"/>
        <v>Nrc</v>
      </c>
      <c r="F25" s="25">
        <f t="shared" si="13"/>
        <v>0</v>
      </c>
      <c r="G25" s="14">
        <f t="shared" si="14"/>
        <v>0</v>
      </c>
      <c r="H25" s="16">
        <f t="shared" ca="1" si="15"/>
        <v>0</v>
      </c>
      <c r="I25" s="16">
        <f t="shared" ca="1" si="16"/>
        <v>0</v>
      </c>
      <c r="J25" s="15">
        <f t="shared" ca="1" si="17"/>
        <v>0</v>
      </c>
      <c r="K25" s="16">
        <f t="shared" si="18"/>
        <v>0</v>
      </c>
      <c r="L25" s="13">
        <f t="shared" ca="1" si="19"/>
        <v>0</v>
      </c>
      <c r="M25" s="13">
        <f t="shared" ca="1" si="20"/>
        <v>0</v>
      </c>
      <c r="N25" s="13">
        <f t="shared" ca="1" si="21"/>
        <v>0</v>
      </c>
      <c r="O25" s="13">
        <f t="shared" si="22"/>
        <v>0</v>
      </c>
      <c r="P25" s="13">
        <f t="shared" si="23"/>
        <v>0</v>
      </c>
      <c r="Q25" s="13">
        <f t="shared" si="24"/>
        <v>0</v>
      </c>
      <c r="R25" s="13">
        <f t="shared" ca="1" si="25"/>
        <v>0</v>
      </c>
      <c r="S25" s="17">
        <f t="shared" si="26"/>
        <v>0</v>
      </c>
    </row>
    <row r="26" spans="1:21" x14ac:dyDescent="0.3">
      <c r="A26">
        <f t="shared" si="9"/>
        <v>0</v>
      </c>
      <c r="B26" s="123">
        <f>'Formula (2)'!C25</f>
        <v>10018</v>
      </c>
      <c r="C26" s="12">
        <f t="shared" si="10"/>
        <v>0</v>
      </c>
      <c r="D26" s="12" t="str">
        <f t="shared" si="11"/>
        <v>Db</v>
      </c>
      <c r="E26" s="27" t="str">
        <f t="shared" si="12"/>
        <v>Nrc</v>
      </c>
      <c r="F26" s="25">
        <f t="shared" si="13"/>
        <v>0</v>
      </c>
      <c r="G26" s="14">
        <f t="shared" si="14"/>
        <v>0</v>
      </c>
      <c r="H26" s="16">
        <f t="shared" ca="1" si="15"/>
        <v>0</v>
      </c>
      <c r="I26" s="16">
        <f t="shared" ca="1" si="16"/>
        <v>0</v>
      </c>
      <c r="J26" s="15">
        <f t="shared" ca="1" si="17"/>
        <v>0</v>
      </c>
      <c r="K26" s="16">
        <f t="shared" si="18"/>
        <v>0</v>
      </c>
      <c r="L26" s="13">
        <f t="shared" ca="1" si="19"/>
        <v>0</v>
      </c>
      <c r="M26" s="13">
        <f t="shared" ca="1" si="20"/>
        <v>0</v>
      </c>
      <c r="N26" s="13">
        <f t="shared" ca="1" si="21"/>
        <v>0</v>
      </c>
      <c r="O26" s="13">
        <f t="shared" si="22"/>
        <v>0</v>
      </c>
      <c r="P26" s="13">
        <f t="shared" si="23"/>
        <v>0</v>
      </c>
      <c r="Q26" s="13">
        <f t="shared" si="24"/>
        <v>0</v>
      </c>
      <c r="R26" s="13">
        <f t="shared" ca="1" si="25"/>
        <v>0</v>
      </c>
      <c r="S26" s="17">
        <f t="shared" si="26"/>
        <v>0</v>
      </c>
    </row>
    <row r="27" spans="1:21" x14ac:dyDescent="0.3">
      <c r="A27">
        <f t="shared" si="9"/>
        <v>0</v>
      </c>
      <c r="B27" s="123">
        <f>'Formula (2)'!C26</f>
        <v>10019</v>
      </c>
      <c r="C27" s="12">
        <f t="shared" si="10"/>
        <v>0</v>
      </c>
      <c r="D27" s="12" t="str">
        <f t="shared" si="11"/>
        <v>Db</v>
      </c>
      <c r="E27" s="27" t="str">
        <f t="shared" si="12"/>
        <v>Nrc</v>
      </c>
      <c r="F27" s="25">
        <f t="shared" si="13"/>
        <v>0</v>
      </c>
      <c r="G27" s="14">
        <f t="shared" si="14"/>
        <v>0</v>
      </c>
      <c r="H27" s="16">
        <f t="shared" ca="1" si="15"/>
        <v>0</v>
      </c>
      <c r="I27" s="16">
        <f t="shared" ca="1" si="16"/>
        <v>0</v>
      </c>
      <c r="J27" s="15">
        <f t="shared" ca="1" si="17"/>
        <v>0</v>
      </c>
      <c r="K27" s="16">
        <f t="shared" si="18"/>
        <v>0</v>
      </c>
      <c r="L27" s="13">
        <f t="shared" ca="1" si="19"/>
        <v>0</v>
      </c>
      <c r="M27" s="13">
        <f t="shared" ca="1" si="20"/>
        <v>0</v>
      </c>
      <c r="N27" s="13">
        <f t="shared" ca="1" si="21"/>
        <v>0</v>
      </c>
      <c r="O27" s="13">
        <f t="shared" si="22"/>
        <v>0</v>
      </c>
      <c r="P27" s="13">
        <f t="shared" si="23"/>
        <v>0</v>
      </c>
      <c r="Q27" s="13">
        <f t="shared" si="24"/>
        <v>0</v>
      </c>
      <c r="R27" s="13">
        <f t="shared" ca="1" si="25"/>
        <v>0</v>
      </c>
      <c r="S27" s="17">
        <f t="shared" si="26"/>
        <v>0</v>
      </c>
    </row>
    <row r="28" spans="1:21" x14ac:dyDescent="0.3">
      <c r="A28">
        <f t="shared" si="9"/>
        <v>0</v>
      </c>
      <c r="B28" s="123">
        <f>'Formula (2)'!C27</f>
        <v>10020</v>
      </c>
      <c r="C28" s="12">
        <f t="shared" si="10"/>
        <v>0</v>
      </c>
      <c r="D28" s="12" t="str">
        <f t="shared" si="11"/>
        <v>Db</v>
      </c>
      <c r="E28" s="27" t="str">
        <f t="shared" si="12"/>
        <v>Nrc</v>
      </c>
      <c r="F28" s="25">
        <f t="shared" si="13"/>
        <v>0</v>
      </c>
      <c r="G28" s="14">
        <f t="shared" si="14"/>
        <v>0</v>
      </c>
      <c r="H28" s="16">
        <f t="shared" ca="1" si="15"/>
        <v>0</v>
      </c>
      <c r="I28" s="16">
        <f t="shared" ca="1" si="16"/>
        <v>0</v>
      </c>
      <c r="J28" s="15">
        <f t="shared" ca="1" si="17"/>
        <v>0</v>
      </c>
      <c r="K28" s="16">
        <f t="shared" si="18"/>
        <v>0</v>
      </c>
      <c r="L28" s="13">
        <f t="shared" ca="1" si="19"/>
        <v>0</v>
      </c>
      <c r="M28" s="13">
        <f t="shared" ca="1" si="20"/>
        <v>0</v>
      </c>
      <c r="N28" s="13">
        <f t="shared" ca="1" si="21"/>
        <v>0</v>
      </c>
      <c r="O28" s="13">
        <f t="shared" si="22"/>
        <v>0</v>
      </c>
      <c r="P28" s="13">
        <f t="shared" si="23"/>
        <v>0</v>
      </c>
      <c r="Q28" s="13">
        <f t="shared" si="24"/>
        <v>0</v>
      </c>
      <c r="R28" s="13">
        <f t="shared" ca="1" si="25"/>
        <v>0</v>
      </c>
      <c r="S28" s="17">
        <f t="shared" si="26"/>
        <v>0</v>
      </c>
      <c r="U28" s="66"/>
    </row>
    <row r="29" spans="1:21" x14ac:dyDescent="0.3">
      <c r="A29">
        <f t="shared" si="9"/>
        <v>1</v>
      </c>
      <c r="B29" s="123">
        <f>'Formula (2)'!C28</f>
        <v>11000</v>
      </c>
      <c r="C29" s="12" t="str">
        <f t="shared" si="10"/>
        <v>Harta tetap</v>
      </c>
      <c r="D29" s="12" t="str">
        <f t="shared" si="11"/>
        <v>Db</v>
      </c>
      <c r="E29" s="27" t="str">
        <f t="shared" si="12"/>
        <v>Nrc</v>
      </c>
      <c r="F29" s="25">
        <f t="shared" si="13"/>
        <v>0</v>
      </c>
      <c r="G29" s="14">
        <f t="shared" si="14"/>
        <v>0</v>
      </c>
      <c r="H29" s="16">
        <f t="shared" ca="1" si="15"/>
        <v>0</v>
      </c>
      <c r="I29" s="16">
        <f t="shared" ca="1" si="16"/>
        <v>0</v>
      </c>
      <c r="J29" s="15">
        <f t="shared" ca="1" si="17"/>
        <v>0</v>
      </c>
      <c r="K29" s="16">
        <f t="shared" si="18"/>
        <v>0</v>
      </c>
      <c r="L29" s="13">
        <f t="shared" ca="1" si="19"/>
        <v>0</v>
      </c>
      <c r="M29" s="13">
        <f t="shared" ca="1" si="20"/>
        <v>0</v>
      </c>
      <c r="N29" s="13">
        <f t="shared" ca="1" si="21"/>
        <v>0</v>
      </c>
      <c r="O29" s="13">
        <f t="shared" si="22"/>
        <v>0</v>
      </c>
      <c r="P29" s="13">
        <f t="shared" si="23"/>
        <v>0</v>
      </c>
      <c r="Q29" s="13">
        <f t="shared" si="24"/>
        <v>0</v>
      </c>
      <c r="R29" s="13">
        <f t="shared" ca="1" si="25"/>
        <v>0</v>
      </c>
      <c r="S29" s="17">
        <f t="shared" si="26"/>
        <v>0</v>
      </c>
      <c r="U29" s="66"/>
    </row>
    <row r="30" spans="1:21" x14ac:dyDescent="0.3">
      <c r="A30">
        <f t="shared" si="9"/>
        <v>1</v>
      </c>
      <c r="B30" s="123">
        <f>'Formula (2)'!C29</f>
        <v>11001</v>
      </c>
      <c r="C30" s="12" t="str">
        <f t="shared" si="10"/>
        <v>Peralatan Kantor</v>
      </c>
      <c r="D30" s="12" t="str">
        <f t="shared" si="11"/>
        <v>Db</v>
      </c>
      <c r="E30" s="27" t="str">
        <f t="shared" si="12"/>
        <v>Nrc</v>
      </c>
      <c r="F30" s="25">
        <f t="shared" si="13"/>
        <v>0</v>
      </c>
      <c r="G30" s="14">
        <f t="shared" si="14"/>
        <v>0</v>
      </c>
      <c r="H30" s="16">
        <f t="shared" ca="1" si="15"/>
        <v>0</v>
      </c>
      <c r="I30" s="16">
        <f t="shared" ca="1" si="16"/>
        <v>0</v>
      </c>
      <c r="J30" s="15">
        <f t="shared" ca="1" si="17"/>
        <v>0</v>
      </c>
      <c r="K30" s="16">
        <f t="shared" si="18"/>
        <v>0</v>
      </c>
      <c r="L30" s="13">
        <f t="shared" ca="1" si="19"/>
        <v>0</v>
      </c>
      <c r="M30" s="13">
        <f t="shared" ca="1" si="20"/>
        <v>0</v>
      </c>
      <c r="N30" s="13">
        <f t="shared" ca="1" si="21"/>
        <v>0</v>
      </c>
      <c r="O30" s="13">
        <f t="shared" si="22"/>
        <v>0</v>
      </c>
      <c r="P30" s="13">
        <f t="shared" si="23"/>
        <v>0</v>
      </c>
      <c r="Q30" s="13">
        <f t="shared" si="24"/>
        <v>0</v>
      </c>
      <c r="R30" s="13">
        <f t="shared" ca="1" si="25"/>
        <v>0</v>
      </c>
      <c r="S30" s="17">
        <f t="shared" si="26"/>
        <v>0</v>
      </c>
    </row>
    <row r="31" spans="1:21" x14ac:dyDescent="0.3">
      <c r="A31">
        <f t="shared" si="9"/>
        <v>1</v>
      </c>
      <c r="B31" s="123">
        <f>'Formula (2)'!C30</f>
        <v>11002</v>
      </c>
      <c r="C31" s="12" t="str">
        <f t="shared" si="10"/>
        <v>Akumulasi Penyusutan Peralatan Kantor</v>
      </c>
      <c r="D31" s="12" t="str">
        <f t="shared" si="11"/>
        <v>Kr</v>
      </c>
      <c r="E31" s="27" t="str">
        <f t="shared" si="12"/>
        <v>Nrc</v>
      </c>
      <c r="F31" s="25">
        <f t="shared" si="13"/>
        <v>0</v>
      </c>
      <c r="G31" s="14">
        <f t="shared" si="14"/>
        <v>0</v>
      </c>
      <c r="H31" s="16">
        <f t="shared" ca="1" si="15"/>
        <v>0</v>
      </c>
      <c r="I31" s="16">
        <f t="shared" ca="1" si="16"/>
        <v>0</v>
      </c>
      <c r="J31" s="15">
        <f t="shared" si="17"/>
        <v>0</v>
      </c>
      <c r="K31" s="16">
        <f t="shared" ca="1" si="18"/>
        <v>0</v>
      </c>
      <c r="L31" s="13">
        <f t="shared" ca="1" si="19"/>
        <v>0</v>
      </c>
      <c r="M31" s="13">
        <f t="shared" ca="1" si="20"/>
        <v>0</v>
      </c>
      <c r="N31" s="13">
        <f t="shared" si="21"/>
        <v>0</v>
      </c>
      <c r="O31" s="13">
        <f t="shared" ca="1" si="22"/>
        <v>0</v>
      </c>
      <c r="P31" s="13">
        <f t="shared" si="23"/>
        <v>0</v>
      </c>
      <c r="Q31" s="13">
        <f t="shared" si="24"/>
        <v>0</v>
      </c>
      <c r="R31" s="13">
        <f t="shared" si="25"/>
        <v>0</v>
      </c>
      <c r="S31" s="17">
        <f t="shared" ca="1" si="26"/>
        <v>0</v>
      </c>
      <c r="U31" s="66"/>
    </row>
    <row r="32" spans="1:21" x14ac:dyDescent="0.3">
      <c r="A32">
        <f t="shared" si="9"/>
        <v>1</v>
      </c>
      <c r="B32" s="123">
        <f>'Formula (2)'!C31</f>
        <v>11003</v>
      </c>
      <c r="C32" s="12" t="str">
        <f t="shared" si="10"/>
        <v>Kendaraan</v>
      </c>
      <c r="D32" s="12" t="str">
        <f t="shared" si="11"/>
        <v>Db</v>
      </c>
      <c r="E32" s="27" t="str">
        <f t="shared" si="12"/>
        <v>Nrc</v>
      </c>
      <c r="F32" s="25">
        <f t="shared" si="13"/>
        <v>0</v>
      </c>
      <c r="G32" s="14">
        <f t="shared" si="14"/>
        <v>0</v>
      </c>
      <c r="H32" s="16">
        <f t="shared" ca="1" si="15"/>
        <v>0</v>
      </c>
      <c r="I32" s="16">
        <f t="shared" ca="1" si="16"/>
        <v>0</v>
      </c>
      <c r="J32" s="15">
        <f t="shared" ca="1" si="17"/>
        <v>0</v>
      </c>
      <c r="K32" s="16">
        <f t="shared" si="18"/>
        <v>0</v>
      </c>
      <c r="L32" s="13">
        <f t="shared" ca="1" si="19"/>
        <v>0</v>
      </c>
      <c r="M32" s="13">
        <f t="shared" ca="1" si="20"/>
        <v>0</v>
      </c>
      <c r="N32" s="13">
        <f t="shared" ca="1" si="21"/>
        <v>0</v>
      </c>
      <c r="O32" s="13">
        <f t="shared" si="22"/>
        <v>0</v>
      </c>
      <c r="P32" s="13">
        <f t="shared" si="23"/>
        <v>0</v>
      </c>
      <c r="Q32" s="13">
        <f t="shared" si="24"/>
        <v>0</v>
      </c>
      <c r="R32" s="13">
        <f t="shared" ca="1" si="25"/>
        <v>0</v>
      </c>
      <c r="S32" s="17">
        <f t="shared" si="26"/>
        <v>0</v>
      </c>
    </row>
    <row r="33" spans="1:19" x14ac:dyDescent="0.3">
      <c r="A33">
        <f t="shared" si="9"/>
        <v>1</v>
      </c>
      <c r="B33" s="123">
        <f>'Formula (2)'!C32</f>
        <v>11004</v>
      </c>
      <c r="C33" s="12" t="str">
        <f t="shared" si="10"/>
        <v>Akumulasi Penyusutan Peralatanan Kendaraan</v>
      </c>
      <c r="D33" s="12" t="str">
        <f t="shared" si="11"/>
        <v>Kr</v>
      </c>
      <c r="E33" s="27" t="str">
        <f t="shared" si="12"/>
        <v>Nrc</v>
      </c>
      <c r="F33" s="25">
        <f t="shared" si="13"/>
        <v>0</v>
      </c>
      <c r="G33" s="14">
        <f t="shared" si="14"/>
        <v>0</v>
      </c>
      <c r="H33" s="16">
        <f t="shared" ca="1" si="15"/>
        <v>0</v>
      </c>
      <c r="I33" s="16">
        <f t="shared" ca="1" si="16"/>
        <v>0</v>
      </c>
      <c r="J33" s="15">
        <f t="shared" si="17"/>
        <v>0</v>
      </c>
      <c r="K33" s="16">
        <f t="shared" ca="1" si="18"/>
        <v>0</v>
      </c>
      <c r="L33" s="13">
        <f t="shared" ca="1" si="19"/>
        <v>0</v>
      </c>
      <c r="M33" s="13">
        <f t="shared" ca="1" si="20"/>
        <v>0</v>
      </c>
      <c r="N33" s="13">
        <f t="shared" si="21"/>
        <v>0</v>
      </c>
      <c r="O33" s="13">
        <f t="shared" ca="1" si="22"/>
        <v>0</v>
      </c>
      <c r="P33" s="13">
        <f t="shared" si="23"/>
        <v>0</v>
      </c>
      <c r="Q33" s="13">
        <f t="shared" si="24"/>
        <v>0</v>
      </c>
      <c r="R33" s="13">
        <f t="shared" si="25"/>
        <v>0</v>
      </c>
      <c r="S33" s="17">
        <f t="shared" ca="1" si="26"/>
        <v>0</v>
      </c>
    </row>
    <row r="34" spans="1:19" x14ac:dyDescent="0.3">
      <c r="A34">
        <f t="shared" si="9"/>
        <v>1</v>
      </c>
      <c r="B34" s="123">
        <f>'Formula (2)'!C33</f>
        <v>11005</v>
      </c>
      <c r="C34" s="12" t="str">
        <f t="shared" si="10"/>
        <v>Gedung</v>
      </c>
      <c r="D34" s="12" t="str">
        <f t="shared" si="11"/>
        <v>Db</v>
      </c>
      <c r="E34" s="27" t="str">
        <f t="shared" si="12"/>
        <v>Nrc</v>
      </c>
      <c r="F34" s="25">
        <f t="shared" si="13"/>
        <v>0</v>
      </c>
      <c r="G34" s="14">
        <f t="shared" si="14"/>
        <v>0</v>
      </c>
      <c r="H34" s="16">
        <f t="shared" ca="1" si="15"/>
        <v>0</v>
      </c>
      <c r="I34" s="16">
        <f t="shared" ca="1" si="16"/>
        <v>0</v>
      </c>
      <c r="J34" s="15">
        <f t="shared" ca="1" si="17"/>
        <v>0</v>
      </c>
      <c r="K34" s="16">
        <f t="shared" si="18"/>
        <v>0</v>
      </c>
      <c r="L34" s="13">
        <f t="shared" ca="1" si="19"/>
        <v>0</v>
      </c>
      <c r="M34" s="13">
        <f t="shared" ca="1" si="20"/>
        <v>0</v>
      </c>
      <c r="N34" s="13">
        <f t="shared" ca="1" si="21"/>
        <v>0</v>
      </c>
      <c r="O34" s="13">
        <f t="shared" si="22"/>
        <v>0</v>
      </c>
      <c r="P34" s="13">
        <f t="shared" si="23"/>
        <v>0</v>
      </c>
      <c r="Q34" s="13">
        <f t="shared" si="24"/>
        <v>0</v>
      </c>
      <c r="R34" s="13">
        <f t="shared" ca="1" si="25"/>
        <v>0</v>
      </c>
      <c r="S34" s="17">
        <f t="shared" si="26"/>
        <v>0</v>
      </c>
    </row>
    <row r="35" spans="1:19" x14ac:dyDescent="0.3">
      <c r="A35">
        <f t="shared" si="9"/>
        <v>1</v>
      </c>
      <c r="B35" s="123">
        <f>'Formula (2)'!C34</f>
        <v>11006</v>
      </c>
      <c r="C35" s="12" t="str">
        <f t="shared" si="10"/>
        <v>Akumulasi Penyusutan Gedung</v>
      </c>
      <c r="D35" s="12" t="str">
        <f t="shared" si="11"/>
        <v>Kr</v>
      </c>
      <c r="E35" s="27" t="str">
        <f t="shared" si="12"/>
        <v>Nrc</v>
      </c>
      <c r="F35" s="25">
        <f t="shared" si="13"/>
        <v>0</v>
      </c>
      <c r="G35" s="14">
        <f t="shared" si="14"/>
        <v>0</v>
      </c>
      <c r="H35" s="16">
        <f t="shared" ca="1" si="15"/>
        <v>0</v>
      </c>
      <c r="I35" s="16">
        <f t="shared" ca="1" si="16"/>
        <v>0</v>
      </c>
      <c r="J35" s="15">
        <f t="shared" si="17"/>
        <v>0</v>
      </c>
      <c r="K35" s="16">
        <f t="shared" ca="1" si="18"/>
        <v>0</v>
      </c>
      <c r="L35" s="13">
        <f t="shared" ca="1" si="19"/>
        <v>0</v>
      </c>
      <c r="M35" s="13">
        <f t="shared" ca="1" si="20"/>
        <v>0</v>
      </c>
      <c r="N35" s="13">
        <f t="shared" si="21"/>
        <v>0</v>
      </c>
      <c r="O35" s="13">
        <f t="shared" ca="1" si="22"/>
        <v>0</v>
      </c>
      <c r="P35" s="13">
        <f t="shared" si="23"/>
        <v>0</v>
      </c>
      <c r="Q35" s="13">
        <f t="shared" si="24"/>
        <v>0</v>
      </c>
      <c r="R35" s="13">
        <f t="shared" si="25"/>
        <v>0</v>
      </c>
      <c r="S35" s="17">
        <f t="shared" ca="1" si="26"/>
        <v>0</v>
      </c>
    </row>
    <row r="36" spans="1:19" x14ac:dyDescent="0.3">
      <c r="A36">
        <f t="shared" si="9"/>
        <v>1</v>
      </c>
      <c r="B36" s="123">
        <f>'Formula (2)'!C35</f>
        <v>11007</v>
      </c>
      <c r="C36" s="12" t="str">
        <f t="shared" si="10"/>
        <v>Mesin</v>
      </c>
      <c r="D36" s="12" t="str">
        <f t="shared" si="11"/>
        <v>Db</v>
      </c>
      <c r="E36" s="27" t="str">
        <f t="shared" si="12"/>
        <v>Nrc</v>
      </c>
      <c r="F36" s="25">
        <f t="shared" si="13"/>
        <v>0</v>
      </c>
      <c r="G36" s="14">
        <f t="shared" si="14"/>
        <v>0</v>
      </c>
      <c r="H36" s="16">
        <f t="shared" ca="1" si="15"/>
        <v>0</v>
      </c>
      <c r="I36" s="16">
        <f t="shared" ca="1" si="16"/>
        <v>0</v>
      </c>
      <c r="J36" s="15">
        <f t="shared" ca="1" si="17"/>
        <v>0</v>
      </c>
      <c r="K36" s="16">
        <f t="shared" si="18"/>
        <v>0</v>
      </c>
      <c r="L36" s="13">
        <f t="shared" ca="1" si="19"/>
        <v>0</v>
      </c>
      <c r="M36" s="13">
        <f t="shared" ca="1" si="20"/>
        <v>0</v>
      </c>
      <c r="N36" s="13">
        <f t="shared" ca="1" si="21"/>
        <v>0</v>
      </c>
      <c r="O36" s="13">
        <f t="shared" si="22"/>
        <v>0</v>
      </c>
      <c r="P36" s="13">
        <f t="shared" si="23"/>
        <v>0</v>
      </c>
      <c r="Q36" s="13">
        <f t="shared" si="24"/>
        <v>0</v>
      </c>
      <c r="R36" s="13">
        <f t="shared" ca="1" si="25"/>
        <v>0</v>
      </c>
      <c r="S36" s="17">
        <f t="shared" si="26"/>
        <v>0</v>
      </c>
    </row>
    <row r="37" spans="1:19" x14ac:dyDescent="0.3">
      <c r="A37">
        <f t="shared" si="9"/>
        <v>1</v>
      </c>
      <c r="B37" s="123">
        <f>'Formula (2)'!C36</f>
        <v>11008</v>
      </c>
      <c r="C37" s="12" t="str">
        <f t="shared" si="10"/>
        <v>Akumulasi Penyusutan Mesin</v>
      </c>
      <c r="D37" s="12" t="str">
        <f t="shared" si="11"/>
        <v>Kr</v>
      </c>
      <c r="E37" s="27" t="str">
        <f t="shared" si="12"/>
        <v>Nrc</v>
      </c>
      <c r="F37" s="25">
        <f t="shared" si="13"/>
        <v>0</v>
      </c>
      <c r="G37" s="14">
        <f t="shared" si="14"/>
        <v>0</v>
      </c>
      <c r="H37" s="16">
        <f t="shared" ca="1" si="15"/>
        <v>0</v>
      </c>
      <c r="I37" s="16">
        <f t="shared" ca="1" si="16"/>
        <v>0</v>
      </c>
      <c r="J37" s="15">
        <f t="shared" si="17"/>
        <v>0</v>
      </c>
      <c r="K37" s="16">
        <f t="shared" ca="1" si="18"/>
        <v>0</v>
      </c>
      <c r="L37" s="13">
        <f t="shared" ca="1" si="19"/>
        <v>0</v>
      </c>
      <c r="M37" s="13">
        <f t="shared" ca="1" si="20"/>
        <v>0</v>
      </c>
      <c r="N37" s="13">
        <f t="shared" si="21"/>
        <v>0</v>
      </c>
      <c r="O37" s="13">
        <f t="shared" ca="1" si="22"/>
        <v>0</v>
      </c>
      <c r="P37" s="13">
        <f t="shared" si="23"/>
        <v>0</v>
      </c>
      <c r="Q37" s="13">
        <f t="shared" si="24"/>
        <v>0</v>
      </c>
      <c r="R37" s="13">
        <f t="shared" si="25"/>
        <v>0</v>
      </c>
      <c r="S37" s="17">
        <f t="shared" ca="1" si="26"/>
        <v>0</v>
      </c>
    </row>
    <row r="38" spans="1:19" x14ac:dyDescent="0.3">
      <c r="A38">
        <f t="shared" si="9"/>
        <v>1</v>
      </c>
      <c r="B38" s="123">
        <f>'Formula (2)'!C37</f>
        <v>11009</v>
      </c>
      <c r="C38" s="12" t="str">
        <f t="shared" si="10"/>
        <v>Peralatan Toko</v>
      </c>
      <c r="D38" s="12" t="str">
        <f t="shared" si="11"/>
        <v>Db</v>
      </c>
      <c r="E38" s="27" t="str">
        <f t="shared" si="12"/>
        <v>Nrc</v>
      </c>
      <c r="F38" s="25">
        <f t="shared" si="13"/>
        <v>0</v>
      </c>
      <c r="G38" s="14">
        <f t="shared" si="14"/>
        <v>0</v>
      </c>
      <c r="H38" s="16">
        <f t="shared" ca="1" si="15"/>
        <v>0</v>
      </c>
      <c r="I38" s="16">
        <f t="shared" ca="1" si="16"/>
        <v>0</v>
      </c>
      <c r="J38" s="15">
        <f t="shared" ca="1" si="17"/>
        <v>0</v>
      </c>
      <c r="K38" s="16">
        <f t="shared" si="18"/>
        <v>0</v>
      </c>
      <c r="L38" s="13">
        <f t="shared" ca="1" si="19"/>
        <v>0</v>
      </c>
      <c r="M38" s="13">
        <f t="shared" ca="1" si="20"/>
        <v>0</v>
      </c>
      <c r="N38" s="13">
        <f t="shared" ca="1" si="21"/>
        <v>0</v>
      </c>
      <c r="O38" s="13">
        <f t="shared" si="22"/>
        <v>0</v>
      </c>
      <c r="P38" s="13">
        <f t="shared" si="23"/>
        <v>0</v>
      </c>
      <c r="Q38" s="13">
        <f t="shared" si="24"/>
        <v>0</v>
      </c>
      <c r="R38" s="13">
        <f t="shared" ca="1" si="25"/>
        <v>0</v>
      </c>
      <c r="S38" s="17">
        <f t="shared" si="26"/>
        <v>0</v>
      </c>
    </row>
    <row r="39" spans="1:19" x14ac:dyDescent="0.3">
      <c r="A39">
        <f t="shared" si="9"/>
        <v>1</v>
      </c>
      <c r="B39" s="123">
        <f>'Formula (2)'!C38</f>
        <v>11010</v>
      </c>
      <c r="C39" s="12" t="str">
        <f t="shared" si="10"/>
        <v>Akumulasi Penyusutan Peralatan Toko</v>
      </c>
      <c r="D39" s="12" t="str">
        <f t="shared" si="11"/>
        <v>Kr</v>
      </c>
      <c r="E39" s="27" t="str">
        <f t="shared" si="12"/>
        <v>Nrc</v>
      </c>
      <c r="F39" s="25">
        <f t="shared" si="13"/>
        <v>0</v>
      </c>
      <c r="G39" s="14">
        <f t="shared" si="14"/>
        <v>0</v>
      </c>
      <c r="H39" s="16">
        <f t="shared" ca="1" si="15"/>
        <v>0</v>
      </c>
      <c r="I39" s="16">
        <f t="shared" ca="1" si="16"/>
        <v>0</v>
      </c>
      <c r="J39" s="15">
        <f t="shared" si="17"/>
        <v>0</v>
      </c>
      <c r="K39" s="16">
        <f t="shared" ca="1" si="18"/>
        <v>0</v>
      </c>
      <c r="L39" s="13">
        <f t="shared" ca="1" si="19"/>
        <v>0</v>
      </c>
      <c r="M39" s="13">
        <f t="shared" ca="1" si="20"/>
        <v>0</v>
      </c>
      <c r="N39" s="13">
        <f t="shared" si="21"/>
        <v>0</v>
      </c>
      <c r="O39" s="13">
        <f t="shared" ca="1" si="22"/>
        <v>0</v>
      </c>
      <c r="P39" s="13">
        <f t="shared" si="23"/>
        <v>0</v>
      </c>
      <c r="Q39" s="13">
        <f t="shared" si="24"/>
        <v>0</v>
      </c>
      <c r="R39" s="13">
        <f t="shared" si="25"/>
        <v>0</v>
      </c>
      <c r="S39" s="17">
        <f t="shared" ca="1" si="26"/>
        <v>0</v>
      </c>
    </row>
    <row r="40" spans="1:19" x14ac:dyDescent="0.3">
      <c r="A40">
        <f t="shared" si="9"/>
        <v>1</v>
      </c>
      <c r="B40" s="123">
        <f>'Formula (2)'!C39</f>
        <v>11011</v>
      </c>
      <c r="C40" s="12" t="str">
        <f t="shared" si="10"/>
        <v xml:space="preserve">Tanah </v>
      </c>
      <c r="D40" s="12" t="str">
        <f t="shared" si="11"/>
        <v>Db</v>
      </c>
      <c r="E40" s="27" t="str">
        <f t="shared" si="12"/>
        <v>Nrc</v>
      </c>
      <c r="F40" s="25">
        <f t="shared" si="13"/>
        <v>0</v>
      </c>
      <c r="G40" s="14">
        <f t="shared" si="14"/>
        <v>0</v>
      </c>
      <c r="H40" s="16">
        <f t="shared" ca="1" si="15"/>
        <v>0</v>
      </c>
      <c r="I40" s="16">
        <f t="shared" ca="1" si="16"/>
        <v>0</v>
      </c>
      <c r="J40" s="15">
        <f t="shared" ca="1" si="17"/>
        <v>0</v>
      </c>
      <c r="K40" s="16">
        <f t="shared" si="18"/>
        <v>0</v>
      </c>
      <c r="L40" s="13">
        <f t="shared" ca="1" si="19"/>
        <v>0</v>
      </c>
      <c r="M40" s="13">
        <f t="shared" ca="1" si="20"/>
        <v>0</v>
      </c>
      <c r="N40" s="13">
        <f t="shared" ca="1" si="21"/>
        <v>0</v>
      </c>
      <c r="O40" s="13">
        <f t="shared" si="22"/>
        <v>0</v>
      </c>
      <c r="P40" s="13">
        <f t="shared" si="23"/>
        <v>0</v>
      </c>
      <c r="Q40" s="13">
        <f t="shared" si="24"/>
        <v>0</v>
      </c>
      <c r="R40" s="13">
        <f t="shared" ca="1" si="25"/>
        <v>0</v>
      </c>
      <c r="S40" s="17">
        <f t="shared" si="26"/>
        <v>0</v>
      </c>
    </row>
    <row r="41" spans="1:19" x14ac:dyDescent="0.3">
      <c r="A41">
        <f t="shared" si="9"/>
        <v>0</v>
      </c>
      <c r="B41" s="123">
        <f>'Formula (2)'!C40</f>
        <v>11012</v>
      </c>
      <c r="C41" s="12">
        <f t="shared" si="10"/>
        <v>0</v>
      </c>
      <c r="D41" s="12" t="str">
        <f t="shared" si="11"/>
        <v>Db</v>
      </c>
      <c r="E41" s="27" t="str">
        <f t="shared" si="12"/>
        <v>Nrc</v>
      </c>
      <c r="F41" s="25">
        <f t="shared" si="13"/>
        <v>0</v>
      </c>
      <c r="G41" s="14">
        <f t="shared" si="14"/>
        <v>0</v>
      </c>
      <c r="H41" s="16">
        <f t="shared" ca="1" si="15"/>
        <v>0</v>
      </c>
      <c r="I41" s="16">
        <f t="shared" ca="1" si="16"/>
        <v>0</v>
      </c>
      <c r="J41" s="15">
        <f t="shared" ca="1" si="17"/>
        <v>0</v>
      </c>
      <c r="K41" s="16">
        <f t="shared" si="18"/>
        <v>0</v>
      </c>
      <c r="L41" s="13">
        <f t="shared" ca="1" si="19"/>
        <v>0</v>
      </c>
      <c r="M41" s="13">
        <f t="shared" ca="1" si="20"/>
        <v>0</v>
      </c>
      <c r="N41" s="13">
        <f t="shared" ca="1" si="21"/>
        <v>0</v>
      </c>
      <c r="O41" s="13">
        <f t="shared" si="22"/>
        <v>0</v>
      </c>
      <c r="P41" s="13">
        <f t="shared" si="23"/>
        <v>0</v>
      </c>
      <c r="Q41" s="13">
        <f t="shared" si="24"/>
        <v>0</v>
      </c>
      <c r="R41" s="13">
        <f t="shared" ca="1" si="25"/>
        <v>0</v>
      </c>
      <c r="S41" s="17">
        <f t="shared" si="26"/>
        <v>0</v>
      </c>
    </row>
    <row r="42" spans="1:19" x14ac:dyDescent="0.3">
      <c r="A42">
        <f t="shared" si="9"/>
        <v>0</v>
      </c>
      <c r="B42" s="123">
        <f>'Formula (2)'!C41</f>
        <v>11013</v>
      </c>
      <c r="C42" s="12">
        <f t="shared" si="10"/>
        <v>0</v>
      </c>
      <c r="D42" s="12" t="str">
        <f t="shared" si="11"/>
        <v>Db</v>
      </c>
      <c r="E42" s="27" t="str">
        <f t="shared" si="12"/>
        <v>Nrc</v>
      </c>
      <c r="F42" s="25">
        <f t="shared" si="13"/>
        <v>0</v>
      </c>
      <c r="G42" s="14">
        <f t="shared" si="14"/>
        <v>0</v>
      </c>
      <c r="H42" s="16">
        <f t="shared" ca="1" si="15"/>
        <v>0</v>
      </c>
      <c r="I42" s="16">
        <f t="shared" ca="1" si="16"/>
        <v>0</v>
      </c>
      <c r="J42" s="15">
        <f t="shared" ca="1" si="17"/>
        <v>0</v>
      </c>
      <c r="K42" s="16">
        <f t="shared" si="18"/>
        <v>0</v>
      </c>
      <c r="L42" s="13">
        <f t="shared" ca="1" si="19"/>
        <v>0</v>
      </c>
      <c r="M42" s="13">
        <f t="shared" ca="1" si="20"/>
        <v>0</v>
      </c>
      <c r="N42" s="13">
        <f t="shared" ca="1" si="21"/>
        <v>0</v>
      </c>
      <c r="O42" s="13">
        <f t="shared" si="22"/>
        <v>0</v>
      </c>
      <c r="P42" s="13">
        <f t="shared" si="23"/>
        <v>0</v>
      </c>
      <c r="Q42" s="13">
        <f t="shared" si="24"/>
        <v>0</v>
      </c>
      <c r="R42" s="13">
        <f t="shared" ca="1" si="25"/>
        <v>0</v>
      </c>
      <c r="S42" s="17">
        <f t="shared" si="26"/>
        <v>0</v>
      </c>
    </row>
    <row r="43" spans="1:19" x14ac:dyDescent="0.3">
      <c r="A43">
        <f t="shared" si="9"/>
        <v>0</v>
      </c>
      <c r="B43" s="123">
        <f>'Formula (2)'!C42</f>
        <v>11014</v>
      </c>
      <c r="C43" s="12">
        <f t="shared" si="10"/>
        <v>0</v>
      </c>
      <c r="D43" s="12" t="str">
        <f t="shared" si="11"/>
        <v>Db</v>
      </c>
      <c r="E43" s="27" t="str">
        <f t="shared" si="12"/>
        <v>Nrc</v>
      </c>
      <c r="F43" s="25">
        <f t="shared" si="13"/>
        <v>0</v>
      </c>
      <c r="G43" s="14">
        <f t="shared" si="14"/>
        <v>0</v>
      </c>
      <c r="H43" s="16">
        <f t="shared" ca="1" si="15"/>
        <v>0</v>
      </c>
      <c r="I43" s="16">
        <f t="shared" ca="1" si="16"/>
        <v>0</v>
      </c>
      <c r="J43" s="15">
        <f t="shared" ca="1" si="17"/>
        <v>0</v>
      </c>
      <c r="K43" s="16">
        <f t="shared" si="18"/>
        <v>0</v>
      </c>
      <c r="L43" s="13">
        <f t="shared" ca="1" si="19"/>
        <v>0</v>
      </c>
      <c r="M43" s="13">
        <f t="shared" ca="1" si="20"/>
        <v>0</v>
      </c>
      <c r="N43" s="13">
        <f t="shared" ca="1" si="21"/>
        <v>0</v>
      </c>
      <c r="O43" s="13">
        <f t="shared" si="22"/>
        <v>0</v>
      </c>
      <c r="P43" s="13">
        <f t="shared" si="23"/>
        <v>0</v>
      </c>
      <c r="Q43" s="13">
        <f t="shared" si="24"/>
        <v>0</v>
      </c>
      <c r="R43" s="13">
        <f t="shared" ca="1" si="25"/>
        <v>0</v>
      </c>
      <c r="S43" s="17">
        <f t="shared" si="26"/>
        <v>0</v>
      </c>
    </row>
    <row r="44" spans="1:19" x14ac:dyDescent="0.3">
      <c r="A44">
        <f t="shared" si="9"/>
        <v>0</v>
      </c>
      <c r="B44" s="123">
        <f>'Formula (2)'!C43</f>
        <v>11015</v>
      </c>
      <c r="C44" s="12">
        <f t="shared" si="10"/>
        <v>0</v>
      </c>
      <c r="D44" s="12" t="str">
        <f t="shared" si="11"/>
        <v>Db</v>
      </c>
      <c r="E44" s="27" t="str">
        <f t="shared" si="12"/>
        <v>Nrc</v>
      </c>
      <c r="F44" s="25">
        <f t="shared" si="13"/>
        <v>0</v>
      </c>
      <c r="G44" s="14">
        <f t="shared" si="14"/>
        <v>0</v>
      </c>
      <c r="H44" s="16">
        <f t="shared" ca="1" si="15"/>
        <v>0</v>
      </c>
      <c r="I44" s="16">
        <f t="shared" ca="1" si="16"/>
        <v>0</v>
      </c>
      <c r="J44" s="15">
        <f t="shared" ca="1" si="17"/>
        <v>0</v>
      </c>
      <c r="K44" s="16">
        <f t="shared" si="18"/>
        <v>0</v>
      </c>
      <c r="L44" s="13">
        <f t="shared" ca="1" si="19"/>
        <v>0</v>
      </c>
      <c r="M44" s="13">
        <f t="shared" ca="1" si="20"/>
        <v>0</v>
      </c>
      <c r="N44" s="13">
        <f t="shared" ca="1" si="21"/>
        <v>0</v>
      </c>
      <c r="O44" s="13">
        <f t="shared" si="22"/>
        <v>0</v>
      </c>
      <c r="P44" s="13">
        <f t="shared" si="23"/>
        <v>0</v>
      </c>
      <c r="Q44" s="13">
        <f t="shared" si="24"/>
        <v>0</v>
      </c>
      <c r="R44" s="13">
        <f t="shared" ca="1" si="25"/>
        <v>0</v>
      </c>
      <c r="S44" s="17">
        <f t="shared" si="26"/>
        <v>0</v>
      </c>
    </row>
    <row r="45" spans="1:19" x14ac:dyDescent="0.3">
      <c r="A45">
        <f t="shared" si="9"/>
        <v>0</v>
      </c>
      <c r="B45" s="123">
        <f>'Formula (2)'!C44</f>
        <v>11016</v>
      </c>
      <c r="C45" s="12">
        <f t="shared" si="10"/>
        <v>0</v>
      </c>
      <c r="D45" s="12" t="str">
        <f t="shared" si="11"/>
        <v>Db</v>
      </c>
      <c r="E45" s="27" t="str">
        <f t="shared" si="12"/>
        <v>Nrc</v>
      </c>
      <c r="F45" s="25">
        <f t="shared" si="13"/>
        <v>0</v>
      </c>
      <c r="G45" s="14">
        <f t="shared" si="14"/>
        <v>0</v>
      </c>
      <c r="H45" s="16">
        <f t="shared" ca="1" si="15"/>
        <v>0</v>
      </c>
      <c r="I45" s="16">
        <f t="shared" ca="1" si="16"/>
        <v>0</v>
      </c>
      <c r="J45" s="15">
        <f t="shared" ca="1" si="17"/>
        <v>0</v>
      </c>
      <c r="K45" s="16">
        <f t="shared" si="18"/>
        <v>0</v>
      </c>
      <c r="L45" s="13">
        <f t="shared" ca="1" si="19"/>
        <v>0</v>
      </c>
      <c r="M45" s="13">
        <f t="shared" ca="1" si="20"/>
        <v>0</v>
      </c>
      <c r="N45" s="13">
        <f t="shared" ca="1" si="21"/>
        <v>0</v>
      </c>
      <c r="O45" s="13">
        <f t="shared" si="22"/>
        <v>0</v>
      </c>
      <c r="P45" s="13">
        <f t="shared" si="23"/>
        <v>0</v>
      </c>
      <c r="Q45" s="13">
        <f t="shared" si="24"/>
        <v>0</v>
      </c>
      <c r="R45" s="13">
        <f t="shared" ca="1" si="25"/>
        <v>0</v>
      </c>
      <c r="S45" s="17">
        <f t="shared" si="26"/>
        <v>0</v>
      </c>
    </row>
    <row r="46" spans="1:19" x14ac:dyDescent="0.3">
      <c r="A46">
        <f t="shared" si="9"/>
        <v>0</v>
      </c>
      <c r="B46" s="123">
        <f>'Formula (2)'!C45</f>
        <v>11017</v>
      </c>
      <c r="C46" s="12">
        <f t="shared" si="10"/>
        <v>0</v>
      </c>
      <c r="D46" s="12" t="str">
        <f t="shared" si="11"/>
        <v>Db</v>
      </c>
      <c r="E46" s="27" t="str">
        <f t="shared" si="12"/>
        <v>Nrc</v>
      </c>
      <c r="F46" s="25">
        <f t="shared" si="13"/>
        <v>0</v>
      </c>
      <c r="G46" s="14">
        <f t="shared" si="14"/>
        <v>0</v>
      </c>
      <c r="H46" s="16">
        <f t="shared" ca="1" si="15"/>
        <v>0</v>
      </c>
      <c r="I46" s="16">
        <f t="shared" ca="1" si="16"/>
        <v>0</v>
      </c>
      <c r="J46" s="15">
        <f t="shared" ca="1" si="17"/>
        <v>0</v>
      </c>
      <c r="K46" s="16">
        <f t="shared" si="18"/>
        <v>0</v>
      </c>
      <c r="L46" s="13">
        <f t="shared" ca="1" si="19"/>
        <v>0</v>
      </c>
      <c r="M46" s="13">
        <f t="shared" ca="1" si="20"/>
        <v>0</v>
      </c>
      <c r="N46" s="13">
        <f t="shared" ca="1" si="21"/>
        <v>0</v>
      </c>
      <c r="O46" s="13">
        <f t="shared" si="22"/>
        <v>0</v>
      </c>
      <c r="P46" s="13">
        <f t="shared" si="23"/>
        <v>0</v>
      </c>
      <c r="Q46" s="13">
        <f t="shared" si="24"/>
        <v>0</v>
      </c>
      <c r="R46" s="13">
        <f t="shared" ca="1" si="25"/>
        <v>0</v>
      </c>
      <c r="S46" s="17">
        <f t="shared" si="26"/>
        <v>0</v>
      </c>
    </row>
    <row r="47" spans="1:19" x14ac:dyDescent="0.3">
      <c r="A47">
        <f t="shared" si="9"/>
        <v>0</v>
      </c>
      <c r="B47" s="123">
        <f>'Formula (2)'!C46</f>
        <v>11018</v>
      </c>
      <c r="C47" s="12">
        <f t="shared" si="10"/>
        <v>0</v>
      </c>
      <c r="D47" s="12" t="str">
        <f t="shared" si="11"/>
        <v>Db</v>
      </c>
      <c r="E47" s="27" t="str">
        <f t="shared" si="12"/>
        <v>Nrc</v>
      </c>
      <c r="F47" s="25">
        <f t="shared" si="13"/>
        <v>0</v>
      </c>
      <c r="G47" s="14">
        <f t="shared" si="14"/>
        <v>0</v>
      </c>
      <c r="H47" s="16">
        <f t="shared" ca="1" si="15"/>
        <v>0</v>
      </c>
      <c r="I47" s="16">
        <f t="shared" ca="1" si="16"/>
        <v>0</v>
      </c>
      <c r="J47" s="15">
        <f t="shared" ca="1" si="17"/>
        <v>0</v>
      </c>
      <c r="K47" s="16">
        <f t="shared" si="18"/>
        <v>0</v>
      </c>
      <c r="L47" s="13">
        <f t="shared" ca="1" si="19"/>
        <v>0</v>
      </c>
      <c r="M47" s="13">
        <f t="shared" ca="1" si="20"/>
        <v>0</v>
      </c>
      <c r="N47" s="13">
        <f t="shared" ca="1" si="21"/>
        <v>0</v>
      </c>
      <c r="O47" s="13">
        <f t="shared" si="22"/>
        <v>0</v>
      </c>
      <c r="P47" s="13">
        <f t="shared" si="23"/>
        <v>0</v>
      </c>
      <c r="Q47" s="13">
        <f t="shared" si="24"/>
        <v>0</v>
      </c>
      <c r="R47" s="13">
        <f t="shared" ca="1" si="25"/>
        <v>0</v>
      </c>
      <c r="S47" s="17">
        <f t="shared" si="26"/>
        <v>0</v>
      </c>
    </row>
    <row r="48" spans="1:19" x14ac:dyDescent="0.3">
      <c r="A48">
        <f t="shared" si="9"/>
        <v>0</v>
      </c>
      <c r="B48" s="123">
        <f>'Formula (2)'!C47</f>
        <v>11019</v>
      </c>
      <c r="C48" s="12">
        <f t="shared" si="10"/>
        <v>0</v>
      </c>
      <c r="D48" s="12" t="str">
        <f t="shared" si="11"/>
        <v>Db</v>
      </c>
      <c r="E48" s="27" t="str">
        <f t="shared" si="12"/>
        <v>Nrc</v>
      </c>
      <c r="F48" s="25">
        <f t="shared" si="13"/>
        <v>0</v>
      </c>
      <c r="G48" s="14">
        <f t="shared" si="14"/>
        <v>0</v>
      </c>
      <c r="H48" s="16">
        <f t="shared" ca="1" si="15"/>
        <v>0</v>
      </c>
      <c r="I48" s="16">
        <f t="shared" ca="1" si="16"/>
        <v>0</v>
      </c>
      <c r="J48" s="15">
        <f t="shared" ca="1" si="17"/>
        <v>0</v>
      </c>
      <c r="K48" s="16">
        <f t="shared" si="18"/>
        <v>0</v>
      </c>
      <c r="L48" s="13">
        <f t="shared" ca="1" si="19"/>
        <v>0</v>
      </c>
      <c r="M48" s="13">
        <f t="shared" ca="1" si="20"/>
        <v>0</v>
      </c>
      <c r="N48" s="13">
        <f t="shared" ca="1" si="21"/>
        <v>0</v>
      </c>
      <c r="O48" s="13">
        <f t="shared" si="22"/>
        <v>0</v>
      </c>
      <c r="P48" s="13">
        <f t="shared" si="23"/>
        <v>0</v>
      </c>
      <c r="Q48" s="13">
        <f t="shared" si="24"/>
        <v>0</v>
      </c>
      <c r="R48" s="13">
        <f t="shared" ca="1" si="25"/>
        <v>0</v>
      </c>
      <c r="S48" s="17">
        <f t="shared" si="26"/>
        <v>0</v>
      </c>
    </row>
    <row r="49" spans="1:21" x14ac:dyDescent="0.3">
      <c r="A49">
        <f t="shared" si="9"/>
        <v>0</v>
      </c>
      <c r="B49" s="123">
        <f>'Formula (2)'!C48</f>
        <v>11020</v>
      </c>
      <c r="C49" s="12">
        <f t="shared" si="10"/>
        <v>0</v>
      </c>
      <c r="D49" s="12" t="str">
        <f t="shared" si="11"/>
        <v>Db</v>
      </c>
      <c r="E49" s="27" t="str">
        <f t="shared" si="12"/>
        <v>Nrc</v>
      </c>
      <c r="F49" s="25">
        <f t="shared" si="13"/>
        <v>0</v>
      </c>
      <c r="G49" s="14">
        <f t="shared" si="14"/>
        <v>0</v>
      </c>
      <c r="H49" s="16">
        <f t="shared" ca="1" si="15"/>
        <v>0</v>
      </c>
      <c r="I49" s="16">
        <f t="shared" ca="1" si="16"/>
        <v>0</v>
      </c>
      <c r="J49" s="15">
        <f t="shared" ca="1" si="17"/>
        <v>0</v>
      </c>
      <c r="K49" s="16">
        <f t="shared" si="18"/>
        <v>0</v>
      </c>
      <c r="L49" s="13">
        <f t="shared" ca="1" si="19"/>
        <v>0</v>
      </c>
      <c r="M49" s="13">
        <f t="shared" ca="1" si="20"/>
        <v>0</v>
      </c>
      <c r="N49" s="13">
        <f t="shared" ca="1" si="21"/>
        <v>0</v>
      </c>
      <c r="O49" s="13">
        <f t="shared" si="22"/>
        <v>0</v>
      </c>
      <c r="P49" s="13">
        <f t="shared" si="23"/>
        <v>0</v>
      </c>
      <c r="Q49" s="13">
        <f t="shared" si="24"/>
        <v>0</v>
      </c>
      <c r="R49" s="13">
        <f t="shared" ca="1" si="25"/>
        <v>0</v>
      </c>
      <c r="S49" s="17">
        <f t="shared" si="26"/>
        <v>0</v>
      </c>
    </row>
    <row r="50" spans="1:21" x14ac:dyDescent="0.3">
      <c r="A50">
        <f t="shared" si="9"/>
        <v>1</v>
      </c>
      <c r="B50" s="123">
        <f>'Formula (2)'!C49</f>
        <v>20000</v>
      </c>
      <c r="C50" s="12" t="str">
        <f t="shared" si="10"/>
        <v>Utang/liability</v>
      </c>
      <c r="D50" s="12" t="str">
        <f t="shared" si="11"/>
        <v>Db</v>
      </c>
      <c r="E50" s="27" t="str">
        <f t="shared" si="12"/>
        <v>Nrc</v>
      </c>
      <c r="F50" s="25">
        <f t="shared" si="13"/>
        <v>0</v>
      </c>
      <c r="G50" s="14">
        <f t="shared" si="14"/>
        <v>0</v>
      </c>
      <c r="H50" s="16">
        <f t="shared" ca="1" si="15"/>
        <v>0</v>
      </c>
      <c r="I50" s="16">
        <f t="shared" ca="1" si="16"/>
        <v>0</v>
      </c>
      <c r="J50" s="15">
        <f t="shared" ca="1" si="17"/>
        <v>0</v>
      </c>
      <c r="K50" s="16">
        <f t="shared" si="18"/>
        <v>0</v>
      </c>
      <c r="L50" s="13">
        <f t="shared" ca="1" si="19"/>
        <v>0</v>
      </c>
      <c r="M50" s="13">
        <f t="shared" ca="1" si="20"/>
        <v>0</v>
      </c>
      <c r="N50" s="13">
        <f t="shared" ca="1" si="21"/>
        <v>0</v>
      </c>
      <c r="O50" s="13">
        <f t="shared" si="22"/>
        <v>0</v>
      </c>
      <c r="P50" s="13">
        <f t="shared" si="23"/>
        <v>0</v>
      </c>
      <c r="Q50" s="13">
        <f t="shared" si="24"/>
        <v>0</v>
      </c>
      <c r="R50" s="13">
        <f t="shared" ca="1" si="25"/>
        <v>0</v>
      </c>
      <c r="S50" s="17">
        <f t="shared" si="26"/>
        <v>0</v>
      </c>
    </row>
    <row r="51" spans="1:21" x14ac:dyDescent="0.3">
      <c r="A51">
        <f t="shared" si="9"/>
        <v>1</v>
      </c>
      <c r="B51" s="123">
        <f>'Formula (2)'!C50</f>
        <v>20001</v>
      </c>
      <c r="C51" s="12" t="str">
        <f t="shared" si="10"/>
        <v>Utang Usaha/Dagang</v>
      </c>
      <c r="D51" s="12" t="str">
        <f t="shared" si="11"/>
        <v>Db</v>
      </c>
      <c r="E51" s="27" t="str">
        <f t="shared" si="12"/>
        <v>Nrc</v>
      </c>
      <c r="F51" s="25">
        <f t="shared" si="13"/>
        <v>0</v>
      </c>
      <c r="G51" s="14">
        <f t="shared" si="14"/>
        <v>0</v>
      </c>
      <c r="H51" s="16">
        <f t="shared" ca="1" si="15"/>
        <v>0</v>
      </c>
      <c r="I51" s="16">
        <f t="shared" ca="1" si="16"/>
        <v>0</v>
      </c>
      <c r="J51" s="15">
        <f t="shared" ca="1" si="17"/>
        <v>0</v>
      </c>
      <c r="K51" s="16">
        <f t="shared" si="18"/>
        <v>0</v>
      </c>
      <c r="L51" s="13">
        <f t="shared" ca="1" si="19"/>
        <v>0</v>
      </c>
      <c r="M51" s="13">
        <f t="shared" ca="1" si="20"/>
        <v>0</v>
      </c>
      <c r="N51" s="13">
        <f t="shared" ca="1" si="21"/>
        <v>0</v>
      </c>
      <c r="O51" s="13">
        <f t="shared" si="22"/>
        <v>0</v>
      </c>
      <c r="P51" s="13">
        <f t="shared" si="23"/>
        <v>0</v>
      </c>
      <c r="Q51" s="13">
        <f t="shared" si="24"/>
        <v>0</v>
      </c>
      <c r="R51" s="13">
        <f t="shared" ca="1" si="25"/>
        <v>0</v>
      </c>
      <c r="S51" s="17">
        <f t="shared" si="26"/>
        <v>0</v>
      </c>
    </row>
    <row r="52" spans="1:21" x14ac:dyDescent="0.3">
      <c r="A52">
        <f t="shared" si="9"/>
        <v>1</v>
      </c>
      <c r="B52" s="123">
        <f>'Formula (2)'!C51</f>
        <v>20002</v>
      </c>
      <c r="C52" s="12" t="str">
        <f t="shared" si="10"/>
        <v>Utang Wesel</v>
      </c>
      <c r="D52" s="12" t="str">
        <f t="shared" si="11"/>
        <v>Db</v>
      </c>
      <c r="E52" s="27" t="str">
        <f t="shared" si="12"/>
        <v>Nrc</v>
      </c>
      <c r="F52" s="25">
        <f t="shared" si="13"/>
        <v>0</v>
      </c>
      <c r="G52" s="14">
        <f t="shared" si="14"/>
        <v>0</v>
      </c>
      <c r="H52" s="16">
        <f t="shared" ca="1" si="15"/>
        <v>0</v>
      </c>
      <c r="I52" s="16">
        <f t="shared" ca="1" si="16"/>
        <v>0</v>
      </c>
      <c r="J52" s="15">
        <f t="shared" ca="1" si="17"/>
        <v>0</v>
      </c>
      <c r="K52" s="16">
        <f t="shared" si="18"/>
        <v>0</v>
      </c>
      <c r="L52" s="13">
        <f t="shared" ca="1" si="19"/>
        <v>0</v>
      </c>
      <c r="M52" s="13">
        <f t="shared" ca="1" si="20"/>
        <v>0</v>
      </c>
      <c r="N52" s="13">
        <f t="shared" ca="1" si="21"/>
        <v>0</v>
      </c>
      <c r="O52" s="13">
        <f t="shared" si="22"/>
        <v>0</v>
      </c>
      <c r="P52" s="13">
        <f t="shared" si="23"/>
        <v>0</v>
      </c>
      <c r="Q52" s="13">
        <f t="shared" si="24"/>
        <v>0</v>
      </c>
      <c r="R52" s="13">
        <f t="shared" ca="1" si="25"/>
        <v>0</v>
      </c>
      <c r="S52" s="17">
        <f t="shared" si="26"/>
        <v>0</v>
      </c>
    </row>
    <row r="53" spans="1:21" x14ac:dyDescent="0.3">
      <c r="A53">
        <f t="shared" si="9"/>
        <v>1</v>
      </c>
      <c r="B53" s="123">
        <f>'Formula (2)'!C52</f>
        <v>20003</v>
      </c>
      <c r="C53" s="12" t="str">
        <f t="shared" si="10"/>
        <v>Utang Gaji</v>
      </c>
      <c r="D53" s="12" t="str">
        <f t="shared" si="11"/>
        <v>Db</v>
      </c>
      <c r="E53" s="27" t="str">
        <f t="shared" si="12"/>
        <v>Nrc</v>
      </c>
      <c r="F53" s="25">
        <f t="shared" si="13"/>
        <v>0</v>
      </c>
      <c r="G53" s="14">
        <f t="shared" si="14"/>
        <v>0</v>
      </c>
      <c r="H53" s="16">
        <f t="shared" ca="1" si="15"/>
        <v>0</v>
      </c>
      <c r="I53" s="16">
        <f t="shared" ca="1" si="16"/>
        <v>0</v>
      </c>
      <c r="J53" s="15">
        <f t="shared" ca="1" si="17"/>
        <v>0</v>
      </c>
      <c r="K53" s="16">
        <f t="shared" si="18"/>
        <v>0</v>
      </c>
      <c r="L53" s="13">
        <f t="shared" ca="1" si="19"/>
        <v>0</v>
      </c>
      <c r="M53" s="13">
        <f t="shared" ca="1" si="20"/>
        <v>0</v>
      </c>
      <c r="N53" s="13">
        <f t="shared" ca="1" si="21"/>
        <v>0</v>
      </c>
      <c r="O53" s="13">
        <f t="shared" si="22"/>
        <v>0</v>
      </c>
      <c r="P53" s="13">
        <f t="shared" si="23"/>
        <v>0</v>
      </c>
      <c r="Q53" s="13">
        <f t="shared" si="24"/>
        <v>0</v>
      </c>
      <c r="R53" s="13">
        <f t="shared" ca="1" si="25"/>
        <v>0</v>
      </c>
      <c r="S53" s="17">
        <f t="shared" si="26"/>
        <v>0</v>
      </c>
    </row>
    <row r="54" spans="1:21" x14ac:dyDescent="0.3">
      <c r="A54">
        <f t="shared" si="9"/>
        <v>1</v>
      </c>
      <c r="B54" s="123">
        <f>'Formula (2)'!C53</f>
        <v>20004</v>
      </c>
      <c r="C54" s="12" t="str">
        <f t="shared" si="10"/>
        <v>Utang Pajak Penghasilan</v>
      </c>
      <c r="D54" s="12" t="str">
        <f t="shared" si="11"/>
        <v>Db</v>
      </c>
      <c r="E54" s="27" t="str">
        <f t="shared" si="12"/>
        <v>Nrc</v>
      </c>
      <c r="F54" s="25">
        <f t="shared" si="13"/>
        <v>0</v>
      </c>
      <c r="G54" s="14">
        <f t="shared" si="14"/>
        <v>0</v>
      </c>
      <c r="H54" s="16">
        <f t="shared" ca="1" si="15"/>
        <v>0</v>
      </c>
      <c r="I54" s="16">
        <f t="shared" ca="1" si="16"/>
        <v>0</v>
      </c>
      <c r="J54" s="15">
        <f t="shared" ca="1" si="17"/>
        <v>0</v>
      </c>
      <c r="K54" s="16">
        <f t="shared" si="18"/>
        <v>0</v>
      </c>
      <c r="L54" s="13">
        <f t="shared" ca="1" si="19"/>
        <v>0</v>
      </c>
      <c r="M54" s="13">
        <f t="shared" ca="1" si="20"/>
        <v>0</v>
      </c>
      <c r="N54" s="13">
        <f t="shared" ca="1" si="21"/>
        <v>0</v>
      </c>
      <c r="O54" s="13">
        <f t="shared" si="22"/>
        <v>0</v>
      </c>
      <c r="P54" s="13">
        <f t="shared" si="23"/>
        <v>0</v>
      </c>
      <c r="Q54" s="13">
        <f t="shared" si="24"/>
        <v>0</v>
      </c>
      <c r="R54" s="13">
        <f t="shared" ca="1" si="25"/>
        <v>0</v>
      </c>
      <c r="S54" s="17">
        <f t="shared" si="26"/>
        <v>0</v>
      </c>
    </row>
    <row r="55" spans="1:21" x14ac:dyDescent="0.3">
      <c r="A55">
        <f t="shared" si="9"/>
        <v>1</v>
      </c>
      <c r="B55" s="123">
        <f>'Formula (2)'!C54</f>
        <v>20005</v>
      </c>
      <c r="C55" s="12" t="str">
        <f t="shared" si="10"/>
        <v>Utang Hipotek</v>
      </c>
      <c r="D55" s="12" t="str">
        <f t="shared" si="11"/>
        <v>Db</v>
      </c>
      <c r="E55" s="27" t="str">
        <f t="shared" si="12"/>
        <v>Nrc</v>
      </c>
      <c r="F55" s="25">
        <f t="shared" si="13"/>
        <v>0</v>
      </c>
      <c r="G55" s="14">
        <f t="shared" si="14"/>
        <v>0</v>
      </c>
      <c r="H55" s="16">
        <f t="shared" ca="1" si="15"/>
        <v>0</v>
      </c>
      <c r="I55" s="16">
        <f t="shared" ca="1" si="16"/>
        <v>0</v>
      </c>
      <c r="J55" s="15">
        <f t="shared" ca="1" si="17"/>
        <v>0</v>
      </c>
      <c r="K55" s="16">
        <f t="shared" si="18"/>
        <v>0</v>
      </c>
      <c r="L55" s="13">
        <f t="shared" ca="1" si="19"/>
        <v>0</v>
      </c>
      <c r="M55" s="13">
        <f t="shared" ca="1" si="20"/>
        <v>0</v>
      </c>
      <c r="N55" s="13">
        <f t="shared" ca="1" si="21"/>
        <v>0</v>
      </c>
      <c r="O55" s="13">
        <f t="shared" si="22"/>
        <v>0</v>
      </c>
      <c r="P55" s="13">
        <f t="shared" si="23"/>
        <v>0</v>
      </c>
      <c r="Q55" s="13">
        <f t="shared" si="24"/>
        <v>0</v>
      </c>
      <c r="R55" s="13">
        <f t="shared" ca="1" si="25"/>
        <v>0</v>
      </c>
      <c r="S55" s="17">
        <f t="shared" si="26"/>
        <v>0</v>
      </c>
    </row>
    <row r="56" spans="1:21" x14ac:dyDescent="0.3">
      <c r="A56">
        <f t="shared" si="9"/>
        <v>1</v>
      </c>
      <c r="B56" s="123">
        <f>'Formula (2)'!C55</f>
        <v>20006</v>
      </c>
      <c r="C56" s="12" t="str">
        <f t="shared" si="10"/>
        <v>Utang Obligasi</v>
      </c>
      <c r="D56" s="12" t="str">
        <f t="shared" si="11"/>
        <v>Db</v>
      </c>
      <c r="E56" s="27" t="str">
        <f t="shared" si="12"/>
        <v>Nrc</v>
      </c>
      <c r="F56" s="25">
        <f t="shared" si="13"/>
        <v>0</v>
      </c>
      <c r="G56" s="14">
        <f t="shared" si="14"/>
        <v>0</v>
      </c>
      <c r="H56" s="16">
        <f t="shared" ca="1" si="15"/>
        <v>0</v>
      </c>
      <c r="I56" s="16">
        <f t="shared" ca="1" si="16"/>
        <v>0</v>
      </c>
      <c r="J56" s="15">
        <f t="shared" ca="1" si="17"/>
        <v>0</v>
      </c>
      <c r="K56" s="16">
        <f t="shared" si="18"/>
        <v>0</v>
      </c>
      <c r="L56" s="13">
        <f t="shared" ca="1" si="19"/>
        <v>0</v>
      </c>
      <c r="M56" s="13">
        <f t="shared" ca="1" si="20"/>
        <v>0</v>
      </c>
      <c r="N56" s="13">
        <f t="shared" ca="1" si="21"/>
        <v>0</v>
      </c>
      <c r="O56" s="13">
        <f t="shared" si="22"/>
        <v>0</v>
      </c>
      <c r="P56" s="13">
        <f t="shared" si="23"/>
        <v>0</v>
      </c>
      <c r="Q56" s="13">
        <f t="shared" si="24"/>
        <v>0</v>
      </c>
      <c r="R56" s="13">
        <f t="shared" ca="1" si="25"/>
        <v>0</v>
      </c>
      <c r="S56" s="17">
        <f t="shared" si="26"/>
        <v>0</v>
      </c>
    </row>
    <row r="57" spans="1:21" x14ac:dyDescent="0.3">
      <c r="A57">
        <f t="shared" si="9"/>
        <v>1</v>
      </c>
      <c r="B57" s="123">
        <f>'Formula (2)'!C56</f>
        <v>20007</v>
      </c>
      <c r="C57" s="12" t="str">
        <f t="shared" si="10"/>
        <v>Pendapatan Diterima Dimuka</v>
      </c>
      <c r="D57" s="12" t="str">
        <f t="shared" si="11"/>
        <v>Db</v>
      </c>
      <c r="E57" s="27" t="str">
        <f t="shared" si="12"/>
        <v>Nrc</v>
      </c>
      <c r="F57" s="25">
        <f t="shared" si="13"/>
        <v>0</v>
      </c>
      <c r="G57" s="14">
        <f t="shared" si="14"/>
        <v>0</v>
      </c>
      <c r="H57" s="16">
        <f t="shared" ca="1" si="15"/>
        <v>0</v>
      </c>
      <c r="I57" s="16">
        <f t="shared" ca="1" si="16"/>
        <v>0</v>
      </c>
      <c r="J57" s="15">
        <f t="shared" ca="1" si="17"/>
        <v>0</v>
      </c>
      <c r="K57" s="16">
        <f t="shared" si="18"/>
        <v>0</v>
      </c>
      <c r="L57" s="13">
        <f t="shared" ca="1" si="19"/>
        <v>0</v>
      </c>
      <c r="M57" s="13">
        <f t="shared" ca="1" si="20"/>
        <v>0</v>
      </c>
      <c r="N57" s="13">
        <f t="shared" ca="1" si="21"/>
        <v>0</v>
      </c>
      <c r="O57" s="13">
        <f t="shared" si="22"/>
        <v>0</v>
      </c>
      <c r="P57" s="13">
        <f t="shared" si="23"/>
        <v>0</v>
      </c>
      <c r="Q57" s="13">
        <f t="shared" si="24"/>
        <v>0</v>
      </c>
      <c r="R57" s="13">
        <f t="shared" ca="1" si="25"/>
        <v>0</v>
      </c>
      <c r="S57" s="17">
        <f t="shared" si="26"/>
        <v>0</v>
      </c>
    </row>
    <row r="58" spans="1:21" x14ac:dyDescent="0.3">
      <c r="A58">
        <f t="shared" si="9"/>
        <v>1</v>
      </c>
      <c r="B58" s="123">
        <f>'Formula (2)'!C57</f>
        <v>20008</v>
      </c>
      <c r="C58" s="12" t="str">
        <f t="shared" si="10"/>
        <v>Utang Utilitas</v>
      </c>
      <c r="D58" s="12" t="str">
        <f t="shared" si="11"/>
        <v>Db</v>
      </c>
      <c r="E58" s="27" t="str">
        <f t="shared" si="12"/>
        <v>Nrc</v>
      </c>
      <c r="F58" s="25">
        <f t="shared" si="13"/>
        <v>0</v>
      </c>
      <c r="G58" s="14">
        <f t="shared" si="14"/>
        <v>0</v>
      </c>
      <c r="H58" s="16">
        <f t="shared" ca="1" si="15"/>
        <v>0</v>
      </c>
      <c r="I58" s="16">
        <f t="shared" ca="1" si="16"/>
        <v>0</v>
      </c>
      <c r="J58" s="15">
        <f t="shared" ca="1" si="17"/>
        <v>0</v>
      </c>
      <c r="K58" s="16">
        <f t="shared" si="18"/>
        <v>0</v>
      </c>
      <c r="L58" s="13">
        <f t="shared" ca="1" si="19"/>
        <v>0</v>
      </c>
      <c r="M58" s="13">
        <f t="shared" ca="1" si="20"/>
        <v>0</v>
      </c>
      <c r="N58" s="13">
        <f t="shared" ca="1" si="21"/>
        <v>0</v>
      </c>
      <c r="O58" s="13">
        <f t="shared" si="22"/>
        <v>0</v>
      </c>
      <c r="P58" s="13">
        <f t="shared" si="23"/>
        <v>0</v>
      </c>
      <c r="Q58" s="13">
        <f t="shared" si="24"/>
        <v>0</v>
      </c>
      <c r="R58" s="13">
        <f t="shared" ca="1" si="25"/>
        <v>0</v>
      </c>
      <c r="S58" s="17">
        <f t="shared" si="26"/>
        <v>0</v>
      </c>
    </row>
    <row r="59" spans="1:21" x14ac:dyDescent="0.3">
      <c r="A59">
        <f t="shared" si="9"/>
        <v>0</v>
      </c>
      <c r="B59" s="123">
        <f>'Formula (2)'!C58</f>
        <v>20009</v>
      </c>
      <c r="C59" s="12">
        <f t="shared" si="10"/>
        <v>0</v>
      </c>
      <c r="D59" s="12" t="str">
        <f t="shared" si="11"/>
        <v>Db</v>
      </c>
      <c r="E59" s="27" t="str">
        <f t="shared" si="12"/>
        <v>Nrc</v>
      </c>
      <c r="F59" s="25">
        <f t="shared" si="13"/>
        <v>0</v>
      </c>
      <c r="G59" s="14">
        <f t="shared" si="14"/>
        <v>0</v>
      </c>
      <c r="H59" s="16">
        <f t="shared" ca="1" si="15"/>
        <v>0</v>
      </c>
      <c r="I59" s="16">
        <f t="shared" ca="1" si="16"/>
        <v>0</v>
      </c>
      <c r="J59" s="15">
        <f t="shared" ca="1" si="17"/>
        <v>0</v>
      </c>
      <c r="K59" s="16">
        <f t="shared" si="18"/>
        <v>0</v>
      </c>
      <c r="L59" s="13">
        <f t="shared" ca="1" si="19"/>
        <v>0</v>
      </c>
      <c r="M59" s="13">
        <f t="shared" ca="1" si="20"/>
        <v>0</v>
      </c>
      <c r="N59" s="13">
        <f t="shared" ca="1" si="21"/>
        <v>0</v>
      </c>
      <c r="O59" s="13">
        <f t="shared" si="22"/>
        <v>0</v>
      </c>
      <c r="P59" s="13">
        <f t="shared" si="23"/>
        <v>0</v>
      </c>
      <c r="Q59" s="13">
        <f t="shared" si="24"/>
        <v>0</v>
      </c>
      <c r="R59" s="13">
        <f t="shared" ca="1" si="25"/>
        <v>0</v>
      </c>
      <c r="S59" s="17">
        <f t="shared" si="26"/>
        <v>0</v>
      </c>
    </row>
    <row r="60" spans="1:21" x14ac:dyDescent="0.3">
      <c r="A60">
        <f t="shared" si="9"/>
        <v>0</v>
      </c>
      <c r="B60" s="123">
        <f>'Formula (2)'!C59</f>
        <v>20010</v>
      </c>
      <c r="C60" s="12">
        <f t="shared" si="10"/>
        <v>0</v>
      </c>
      <c r="D60" s="12" t="str">
        <f t="shared" si="11"/>
        <v>Db</v>
      </c>
      <c r="E60" s="27" t="str">
        <f t="shared" si="12"/>
        <v>Nrc</v>
      </c>
      <c r="F60" s="25">
        <f t="shared" si="13"/>
        <v>0</v>
      </c>
      <c r="G60" s="14">
        <f t="shared" si="14"/>
        <v>0</v>
      </c>
      <c r="H60" s="16">
        <f t="shared" ca="1" si="15"/>
        <v>0</v>
      </c>
      <c r="I60" s="16">
        <f t="shared" ca="1" si="16"/>
        <v>0</v>
      </c>
      <c r="J60" s="15">
        <f t="shared" ca="1" si="17"/>
        <v>0</v>
      </c>
      <c r="K60" s="16">
        <f t="shared" si="18"/>
        <v>0</v>
      </c>
      <c r="L60" s="13">
        <f t="shared" ca="1" si="19"/>
        <v>0</v>
      </c>
      <c r="M60" s="13">
        <f t="shared" ca="1" si="20"/>
        <v>0</v>
      </c>
      <c r="N60" s="13">
        <f t="shared" ca="1" si="21"/>
        <v>0</v>
      </c>
      <c r="O60" s="13">
        <f t="shared" si="22"/>
        <v>0</v>
      </c>
      <c r="P60" s="13">
        <f t="shared" si="23"/>
        <v>0</v>
      </c>
      <c r="Q60" s="13">
        <f t="shared" si="24"/>
        <v>0</v>
      </c>
      <c r="R60" s="13">
        <f t="shared" ca="1" si="25"/>
        <v>0</v>
      </c>
      <c r="S60" s="17">
        <f t="shared" si="26"/>
        <v>0</v>
      </c>
    </row>
    <row r="61" spans="1:21" x14ac:dyDescent="0.3">
      <c r="A61">
        <f t="shared" si="9"/>
        <v>0</v>
      </c>
      <c r="B61" s="123">
        <f>'Formula (2)'!C60</f>
        <v>20011</v>
      </c>
      <c r="C61" s="12">
        <f t="shared" si="10"/>
        <v>0</v>
      </c>
      <c r="D61" s="12" t="str">
        <f t="shared" si="11"/>
        <v>Db</v>
      </c>
      <c r="E61" s="27" t="str">
        <f t="shared" si="12"/>
        <v>Nrc</v>
      </c>
      <c r="F61" s="25">
        <f t="shared" si="13"/>
        <v>0</v>
      </c>
      <c r="G61" s="14">
        <f t="shared" si="14"/>
        <v>0</v>
      </c>
      <c r="H61" s="16">
        <f t="shared" ca="1" si="15"/>
        <v>0</v>
      </c>
      <c r="I61" s="16">
        <f t="shared" ca="1" si="16"/>
        <v>0</v>
      </c>
      <c r="J61" s="15">
        <f t="shared" ca="1" si="17"/>
        <v>0</v>
      </c>
      <c r="K61" s="16">
        <f t="shared" si="18"/>
        <v>0</v>
      </c>
      <c r="L61" s="13">
        <f t="shared" ca="1" si="19"/>
        <v>0</v>
      </c>
      <c r="M61" s="13">
        <f t="shared" ca="1" si="20"/>
        <v>0</v>
      </c>
      <c r="N61" s="13">
        <f t="shared" ca="1" si="21"/>
        <v>0</v>
      </c>
      <c r="O61" s="13">
        <f t="shared" si="22"/>
        <v>0</v>
      </c>
      <c r="P61" s="13">
        <f t="shared" si="23"/>
        <v>0</v>
      </c>
      <c r="Q61" s="13">
        <f t="shared" si="24"/>
        <v>0</v>
      </c>
      <c r="R61" s="13">
        <f t="shared" ca="1" si="25"/>
        <v>0</v>
      </c>
      <c r="S61" s="17">
        <f t="shared" si="26"/>
        <v>0</v>
      </c>
    </row>
    <row r="62" spans="1:21" x14ac:dyDescent="0.3">
      <c r="A62">
        <f t="shared" si="9"/>
        <v>0</v>
      </c>
      <c r="B62" s="123">
        <f>'Formula (2)'!C61</f>
        <v>20012</v>
      </c>
      <c r="C62" s="12">
        <f t="shared" si="10"/>
        <v>0</v>
      </c>
      <c r="D62" s="12" t="str">
        <f t="shared" si="11"/>
        <v>Db</v>
      </c>
      <c r="E62" s="27" t="str">
        <f t="shared" si="12"/>
        <v>Nrc</v>
      </c>
      <c r="F62" s="25">
        <f t="shared" si="13"/>
        <v>0</v>
      </c>
      <c r="G62" s="14">
        <f t="shared" si="14"/>
        <v>0</v>
      </c>
      <c r="H62" s="16">
        <f t="shared" ca="1" si="15"/>
        <v>0</v>
      </c>
      <c r="I62" s="16">
        <f t="shared" ca="1" si="16"/>
        <v>0</v>
      </c>
      <c r="J62" s="15">
        <f t="shared" ca="1" si="17"/>
        <v>0</v>
      </c>
      <c r="K62" s="16">
        <f t="shared" si="18"/>
        <v>0</v>
      </c>
      <c r="L62" s="13">
        <f t="shared" ca="1" si="19"/>
        <v>0</v>
      </c>
      <c r="M62" s="13">
        <f t="shared" ca="1" si="20"/>
        <v>0</v>
      </c>
      <c r="N62" s="13">
        <f t="shared" ca="1" si="21"/>
        <v>0</v>
      </c>
      <c r="O62" s="13">
        <f t="shared" si="22"/>
        <v>0</v>
      </c>
      <c r="P62" s="13">
        <f t="shared" si="23"/>
        <v>0</v>
      </c>
      <c r="Q62" s="13">
        <f t="shared" si="24"/>
        <v>0</v>
      </c>
      <c r="R62" s="13">
        <f t="shared" ca="1" si="25"/>
        <v>0</v>
      </c>
      <c r="S62" s="17">
        <f t="shared" si="26"/>
        <v>0</v>
      </c>
    </row>
    <row r="63" spans="1:21" x14ac:dyDescent="0.3">
      <c r="A63">
        <f t="shared" si="9"/>
        <v>0</v>
      </c>
      <c r="B63" s="123">
        <f>'Formula (2)'!C62</f>
        <v>20013</v>
      </c>
      <c r="C63" s="12">
        <f t="shared" si="10"/>
        <v>0</v>
      </c>
      <c r="D63" s="12" t="str">
        <f t="shared" si="11"/>
        <v>Db</v>
      </c>
      <c r="E63" s="27" t="str">
        <f t="shared" si="12"/>
        <v>Nrc</v>
      </c>
      <c r="F63" s="25">
        <f t="shared" si="13"/>
        <v>0</v>
      </c>
      <c r="G63" s="14">
        <f t="shared" si="14"/>
        <v>0</v>
      </c>
      <c r="H63" s="16">
        <f t="shared" ca="1" si="15"/>
        <v>0</v>
      </c>
      <c r="I63" s="16">
        <f t="shared" ca="1" si="16"/>
        <v>0</v>
      </c>
      <c r="J63" s="15">
        <f t="shared" ca="1" si="17"/>
        <v>0</v>
      </c>
      <c r="K63" s="16">
        <f t="shared" si="18"/>
        <v>0</v>
      </c>
      <c r="L63" s="13">
        <f t="shared" ca="1" si="19"/>
        <v>0</v>
      </c>
      <c r="M63" s="13">
        <f t="shared" ca="1" si="20"/>
        <v>0</v>
      </c>
      <c r="N63" s="13">
        <f t="shared" ca="1" si="21"/>
        <v>0</v>
      </c>
      <c r="O63" s="13">
        <f t="shared" si="22"/>
        <v>0</v>
      </c>
      <c r="P63" s="13">
        <f t="shared" si="23"/>
        <v>0</v>
      </c>
      <c r="Q63" s="13">
        <f t="shared" si="24"/>
        <v>0</v>
      </c>
      <c r="R63" s="13">
        <f t="shared" ca="1" si="25"/>
        <v>0</v>
      </c>
      <c r="S63" s="17">
        <f t="shared" si="26"/>
        <v>0</v>
      </c>
      <c r="U63" s="66"/>
    </row>
    <row r="64" spans="1:21" x14ac:dyDescent="0.3">
      <c r="A64">
        <f t="shared" si="9"/>
        <v>0</v>
      </c>
      <c r="B64" s="123">
        <f>'Formula (2)'!C63</f>
        <v>20014</v>
      </c>
      <c r="C64" s="12">
        <f t="shared" si="10"/>
        <v>0</v>
      </c>
      <c r="D64" s="12" t="str">
        <f t="shared" si="11"/>
        <v>Db</v>
      </c>
      <c r="E64" s="27" t="str">
        <f t="shared" si="12"/>
        <v>Nrc</v>
      </c>
      <c r="F64" s="25">
        <f t="shared" si="13"/>
        <v>0</v>
      </c>
      <c r="G64" s="14">
        <f t="shared" si="14"/>
        <v>0</v>
      </c>
      <c r="H64" s="16">
        <f t="shared" ca="1" si="15"/>
        <v>0</v>
      </c>
      <c r="I64" s="16">
        <f t="shared" ca="1" si="16"/>
        <v>0</v>
      </c>
      <c r="J64" s="15">
        <f t="shared" ca="1" si="17"/>
        <v>0</v>
      </c>
      <c r="K64" s="16">
        <f t="shared" si="18"/>
        <v>0</v>
      </c>
      <c r="L64" s="13">
        <f t="shared" ca="1" si="19"/>
        <v>0</v>
      </c>
      <c r="M64" s="13">
        <f t="shared" ca="1" si="20"/>
        <v>0</v>
      </c>
      <c r="N64" s="13">
        <f t="shared" ca="1" si="21"/>
        <v>0</v>
      </c>
      <c r="O64" s="13">
        <f t="shared" si="22"/>
        <v>0</v>
      </c>
      <c r="P64" s="13">
        <f t="shared" si="23"/>
        <v>0</v>
      </c>
      <c r="Q64" s="13">
        <f t="shared" si="24"/>
        <v>0</v>
      </c>
      <c r="R64" s="13">
        <f t="shared" ca="1" si="25"/>
        <v>0</v>
      </c>
      <c r="S64" s="17">
        <f t="shared" si="26"/>
        <v>0</v>
      </c>
    </row>
    <row r="65" spans="1:21" x14ac:dyDescent="0.3">
      <c r="A65">
        <f t="shared" si="9"/>
        <v>0</v>
      </c>
      <c r="B65" s="123">
        <f>'Formula (2)'!C64</f>
        <v>20015</v>
      </c>
      <c r="C65" s="12">
        <f t="shared" si="10"/>
        <v>0</v>
      </c>
      <c r="D65" s="12" t="str">
        <f t="shared" si="11"/>
        <v>Db</v>
      </c>
      <c r="E65" s="27" t="str">
        <f t="shared" si="12"/>
        <v>Nrc</v>
      </c>
      <c r="F65" s="25">
        <f t="shared" si="13"/>
        <v>0</v>
      </c>
      <c r="G65" s="14">
        <f t="shared" si="14"/>
        <v>0</v>
      </c>
      <c r="H65" s="16">
        <f t="shared" ca="1" si="15"/>
        <v>0</v>
      </c>
      <c r="I65" s="16">
        <f t="shared" ca="1" si="16"/>
        <v>0</v>
      </c>
      <c r="J65" s="15">
        <f t="shared" ca="1" si="17"/>
        <v>0</v>
      </c>
      <c r="K65" s="16">
        <f t="shared" si="18"/>
        <v>0</v>
      </c>
      <c r="L65" s="13">
        <f t="shared" ca="1" si="19"/>
        <v>0</v>
      </c>
      <c r="M65" s="13">
        <f t="shared" ca="1" si="20"/>
        <v>0</v>
      </c>
      <c r="N65" s="13">
        <f t="shared" ca="1" si="21"/>
        <v>0</v>
      </c>
      <c r="O65" s="13">
        <f t="shared" si="22"/>
        <v>0</v>
      </c>
      <c r="P65" s="13">
        <f t="shared" si="23"/>
        <v>0</v>
      </c>
      <c r="Q65" s="13">
        <f t="shared" si="24"/>
        <v>0</v>
      </c>
      <c r="R65" s="13">
        <f t="shared" ca="1" si="25"/>
        <v>0</v>
      </c>
      <c r="S65" s="17">
        <f t="shared" si="26"/>
        <v>0</v>
      </c>
    </row>
    <row r="66" spans="1:21" x14ac:dyDescent="0.3">
      <c r="A66">
        <f t="shared" si="9"/>
        <v>0</v>
      </c>
      <c r="B66" s="123">
        <f>'Formula (2)'!C65</f>
        <v>20016</v>
      </c>
      <c r="C66" s="12">
        <f t="shared" si="10"/>
        <v>0</v>
      </c>
      <c r="D66" s="12" t="str">
        <f t="shared" si="11"/>
        <v>Db</v>
      </c>
      <c r="E66" s="27" t="str">
        <f t="shared" si="12"/>
        <v>Nrc</v>
      </c>
      <c r="F66" s="25">
        <f t="shared" si="13"/>
        <v>0</v>
      </c>
      <c r="G66" s="14">
        <f t="shared" si="14"/>
        <v>0</v>
      </c>
      <c r="H66" s="16">
        <f t="shared" ca="1" si="15"/>
        <v>0</v>
      </c>
      <c r="I66" s="16">
        <f t="shared" ca="1" si="16"/>
        <v>0</v>
      </c>
      <c r="J66" s="15">
        <f t="shared" ca="1" si="17"/>
        <v>0</v>
      </c>
      <c r="K66" s="16">
        <f t="shared" si="18"/>
        <v>0</v>
      </c>
      <c r="L66" s="13">
        <f t="shared" ca="1" si="19"/>
        <v>0</v>
      </c>
      <c r="M66" s="13">
        <f t="shared" ca="1" si="20"/>
        <v>0</v>
      </c>
      <c r="N66" s="13">
        <f t="shared" ca="1" si="21"/>
        <v>0</v>
      </c>
      <c r="O66" s="13">
        <f t="shared" si="22"/>
        <v>0</v>
      </c>
      <c r="P66" s="13">
        <f t="shared" si="23"/>
        <v>0</v>
      </c>
      <c r="Q66" s="13">
        <f t="shared" si="24"/>
        <v>0</v>
      </c>
      <c r="R66" s="13">
        <f t="shared" ca="1" si="25"/>
        <v>0</v>
      </c>
      <c r="S66" s="17">
        <f t="shared" si="26"/>
        <v>0</v>
      </c>
    </row>
    <row r="67" spans="1:21" x14ac:dyDescent="0.3">
      <c r="A67">
        <f t="shared" si="9"/>
        <v>0</v>
      </c>
      <c r="B67" s="123">
        <f>'Formula (2)'!C66</f>
        <v>20017</v>
      </c>
      <c r="C67" s="12">
        <f t="shared" si="10"/>
        <v>0</v>
      </c>
      <c r="D67" s="12" t="str">
        <f t="shared" si="11"/>
        <v>Db</v>
      </c>
      <c r="E67" s="27" t="str">
        <f t="shared" si="12"/>
        <v>Nrc</v>
      </c>
      <c r="F67" s="25">
        <f t="shared" si="13"/>
        <v>0</v>
      </c>
      <c r="G67" s="14">
        <f t="shared" si="14"/>
        <v>0</v>
      </c>
      <c r="H67" s="16">
        <f t="shared" ca="1" si="15"/>
        <v>0</v>
      </c>
      <c r="I67" s="16">
        <f t="shared" ca="1" si="16"/>
        <v>0</v>
      </c>
      <c r="J67" s="15">
        <f t="shared" ca="1" si="17"/>
        <v>0</v>
      </c>
      <c r="K67" s="16">
        <f t="shared" si="18"/>
        <v>0</v>
      </c>
      <c r="L67" s="13">
        <f t="shared" ca="1" si="19"/>
        <v>0</v>
      </c>
      <c r="M67" s="13">
        <f t="shared" ca="1" si="20"/>
        <v>0</v>
      </c>
      <c r="N67" s="13">
        <f t="shared" ca="1" si="21"/>
        <v>0</v>
      </c>
      <c r="O67" s="13">
        <f t="shared" si="22"/>
        <v>0</v>
      </c>
      <c r="P67" s="13">
        <f t="shared" si="23"/>
        <v>0</v>
      </c>
      <c r="Q67" s="13">
        <f t="shared" si="24"/>
        <v>0</v>
      </c>
      <c r="R67" s="13">
        <f t="shared" ca="1" si="25"/>
        <v>0</v>
      </c>
      <c r="S67" s="17">
        <f t="shared" si="26"/>
        <v>0</v>
      </c>
    </row>
    <row r="68" spans="1:21" x14ac:dyDescent="0.3">
      <c r="A68">
        <f t="shared" si="9"/>
        <v>0</v>
      </c>
      <c r="B68" s="123">
        <f>'Formula (2)'!C67</f>
        <v>20018</v>
      </c>
      <c r="C68" s="12">
        <f t="shared" si="10"/>
        <v>0</v>
      </c>
      <c r="D68" s="12" t="str">
        <f t="shared" si="11"/>
        <v>Db</v>
      </c>
      <c r="E68" s="27" t="str">
        <f t="shared" si="12"/>
        <v>Nrc</v>
      </c>
      <c r="F68" s="25">
        <f t="shared" si="13"/>
        <v>0</v>
      </c>
      <c r="G68" s="14">
        <f t="shared" si="14"/>
        <v>0</v>
      </c>
      <c r="H68" s="16">
        <f t="shared" ca="1" si="15"/>
        <v>0</v>
      </c>
      <c r="I68" s="16">
        <f t="shared" ca="1" si="16"/>
        <v>0</v>
      </c>
      <c r="J68" s="15">
        <f t="shared" ca="1" si="17"/>
        <v>0</v>
      </c>
      <c r="K68" s="16">
        <f t="shared" si="18"/>
        <v>0</v>
      </c>
      <c r="L68" s="13">
        <f t="shared" ca="1" si="19"/>
        <v>0</v>
      </c>
      <c r="M68" s="13">
        <f t="shared" ca="1" si="20"/>
        <v>0</v>
      </c>
      <c r="N68" s="13">
        <f t="shared" ca="1" si="21"/>
        <v>0</v>
      </c>
      <c r="O68" s="13">
        <f t="shared" si="22"/>
        <v>0</v>
      </c>
      <c r="P68" s="13">
        <f t="shared" si="23"/>
        <v>0</v>
      </c>
      <c r="Q68" s="13">
        <f t="shared" si="24"/>
        <v>0</v>
      </c>
      <c r="R68" s="13">
        <f t="shared" ca="1" si="25"/>
        <v>0</v>
      </c>
      <c r="S68" s="17">
        <f t="shared" si="26"/>
        <v>0</v>
      </c>
    </row>
    <row r="69" spans="1:21" x14ac:dyDescent="0.3">
      <c r="A69">
        <f t="shared" si="9"/>
        <v>0</v>
      </c>
      <c r="B69" s="123">
        <f>'Formula (2)'!C68</f>
        <v>20019</v>
      </c>
      <c r="C69" s="12">
        <f t="shared" si="10"/>
        <v>0</v>
      </c>
      <c r="D69" s="12" t="str">
        <f t="shared" si="11"/>
        <v>Db</v>
      </c>
      <c r="E69" s="27" t="str">
        <f t="shared" si="12"/>
        <v>Nrc</v>
      </c>
      <c r="F69" s="25">
        <f t="shared" si="13"/>
        <v>0</v>
      </c>
      <c r="G69" s="14">
        <f t="shared" si="14"/>
        <v>0</v>
      </c>
      <c r="H69" s="16">
        <f t="shared" ca="1" si="15"/>
        <v>0</v>
      </c>
      <c r="I69" s="16">
        <f t="shared" ca="1" si="16"/>
        <v>0</v>
      </c>
      <c r="J69" s="15">
        <f t="shared" ca="1" si="17"/>
        <v>0</v>
      </c>
      <c r="K69" s="16">
        <f t="shared" si="18"/>
        <v>0</v>
      </c>
      <c r="L69" s="13">
        <f t="shared" ca="1" si="19"/>
        <v>0</v>
      </c>
      <c r="M69" s="13">
        <f t="shared" ca="1" si="20"/>
        <v>0</v>
      </c>
      <c r="N69" s="13">
        <f t="shared" ca="1" si="21"/>
        <v>0</v>
      </c>
      <c r="O69" s="13">
        <f t="shared" si="22"/>
        <v>0</v>
      </c>
      <c r="P69" s="13">
        <f t="shared" si="23"/>
        <v>0</v>
      </c>
      <c r="Q69" s="13">
        <f t="shared" si="24"/>
        <v>0</v>
      </c>
      <c r="R69" s="13">
        <f t="shared" ca="1" si="25"/>
        <v>0</v>
      </c>
      <c r="S69" s="17">
        <f t="shared" si="26"/>
        <v>0</v>
      </c>
    </row>
    <row r="70" spans="1:21" x14ac:dyDescent="0.3">
      <c r="A70">
        <f t="shared" si="9"/>
        <v>0</v>
      </c>
      <c r="B70" s="123">
        <f>'Formula (2)'!C69</f>
        <v>20020</v>
      </c>
      <c r="C70" s="12">
        <f t="shared" si="10"/>
        <v>0</v>
      </c>
      <c r="D70" s="12" t="str">
        <f t="shared" si="11"/>
        <v>Db</v>
      </c>
      <c r="E70" s="27" t="str">
        <f t="shared" si="12"/>
        <v>Nrc</v>
      </c>
      <c r="F70" s="25">
        <f t="shared" si="13"/>
        <v>0</v>
      </c>
      <c r="G70" s="14">
        <f t="shared" si="14"/>
        <v>0</v>
      </c>
      <c r="H70" s="16">
        <f t="shared" ca="1" si="15"/>
        <v>0</v>
      </c>
      <c r="I70" s="16">
        <f t="shared" ca="1" si="16"/>
        <v>0</v>
      </c>
      <c r="J70" s="15">
        <f t="shared" ca="1" si="17"/>
        <v>0</v>
      </c>
      <c r="K70" s="16">
        <f t="shared" si="18"/>
        <v>0</v>
      </c>
      <c r="L70" s="13">
        <f t="shared" ca="1" si="19"/>
        <v>0</v>
      </c>
      <c r="M70" s="13">
        <f t="shared" ca="1" si="20"/>
        <v>0</v>
      </c>
      <c r="N70" s="13">
        <f t="shared" ca="1" si="21"/>
        <v>0</v>
      </c>
      <c r="O70" s="13">
        <f t="shared" si="22"/>
        <v>0</v>
      </c>
      <c r="P70" s="13">
        <f t="shared" si="23"/>
        <v>0</v>
      </c>
      <c r="Q70" s="13">
        <f t="shared" si="24"/>
        <v>0</v>
      </c>
      <c r="R70" s="13">
        <f t="shared" ca="1" si="25"/>
        <v>0</v>
      </c>
      <c r="S70" s="17">
        <f t="shared" si="26"/>
        <v>0</v>
      </c>
    </row>
    <row r="71" spans="1:21" x14ac:dyDescent="0.3">
      <c r="A71">
        <f t="shared" si="9"/>
        <v>1</v>
      </c>
      <c r="B71" s="123">
        <f>'Formula (2)'!C70</f>
        <v>21000</v>
      </c>
      <c r="C71" s="12" t="str">
        <f t="shared" si="10"/>
        <v>Utang non operasional</v>
      </c>
      <c r="D71" s="12" t="str">
        <f t="shared" si="11"/>
        <v>Db</v>
      </c>
      <c r="E71" s="27" t="str">
        <f t="shared" si="12"/>
        <v>Nrc</v>
      </c>
      <c r="F71" s="25">
        <f t="shared" si="13"/>
        <v>0</v>
      </c>
      <c r="G71" s="14">
        <f t="shared" si="14"/>
        <v>0</v>
      </c>
      <c r="H71" s="16">
        <f t="shared" ca="1" si="15"/>
        <v>0</v>
      </c>
      <c r="I71" s="16">
        <f t="shared" ca="1" si="16"/>
        <v>0</v>
      </c>
      <c r="J71" s="15">
        <f t="shared" ca="1" si="17"/>
        <v>0</v>
      </c>
      <c r="K71" s="16">
        <f t="shared" si="18"/>
        <v>0</v>
      </c>
      <c r="L71" s="13">
        <f t="shared" ca="1" si="19"/>
        <v>0</v>
      </c>
      <c r="M71" s="13">
        <f t="shared" ca="1" si="20"/>
        <v>0</v>
      </c>
      <c r="N71" s="13">
        <f t="shared" ca="1" si="21"/>
        <v>0</v>
      </c>
      <c r="O71" s="13">
        <f t="shared" si="22"/>
        <v>0</v>
      </c>
      <c r="P71" s="13">
        <f t="shared" si="23"/>
        <v>0</v>
      </c>
      <c r="Q71" s="13">
        <f t="shared" si="24"/>
        <v>0</v>
      </c>
      <c r="R71" s="13">
        <f t="shared" ca="1" si="25"/>
        <v>0</v>
      </c>
      <c r="S71" s="17">
        <f t="shared" si="26"/>
        <v>0</v>
      </c>
    </row>
    <row r="72" spans="1:21" x14ac:dyDescent="0.3">
      <c r="A72">
        <f t="shared" si="9"/>
        <v>1</v>
      </c>
      <c r="B72" s="123">
        <f>'Formula (2)'!C71</f>
        <v>21001</v>
      </c>
      <c r="C72" s="12" t="str">
        <f t="shared" si="10"/>
        <v>Utang sewa</v>
      </c>
      <c r="D72" s="12" t="str">
        <f t="shared" si="11"/>
        <v>Db</v>
      </c>
      <c r="E72" s="27" t="str">
        <f t="shared" si="12"/>
        <v>Nrc</v>
      </c>
      <c r="F72" s="25">
        <f t="shared" si="13"/>
        <v>0</v>
      </c>
      <c r="G72" s="14">
        <f t="shared" si="14"/>
        <v>0</v>
      </c>
      <c r="H72" s="16">
        <f t="shared" ca="1" si="15"/>
        <v>0</v>
      </c>
      <c r="I72" s="16">
        <f t="shared" ca="1" si="16"/>
        <v>0</v>
      </c>
      <c r="J72" s="15">
        <f t="shared" ca="1" si="17"/>
        <v>0</v>
      </c>
      <c r="K72" s="16">
        <f t="shared" si="18"/>
        <v>0</v>
      </c>
      <c r="L72" s="13">
        <f t="shared" ca="1" si="19"/>
        <v>0</v>
      </c>
      <c r="M72" s="13">
        <f t="shared" ca="1" si="20"/>
        <v>0</v>
      </c>
      <c r="N72" s="13">
        <f t="shared" ca="1" si="21"/>
        <v>0</v>
      </c>
      <c r="O72" s="13">
        <f t="shared" si="22"/>
        <v>0</v>
      </c>
      <c r="P72" s="13">
        <f t="shared" si="23"/>
        <v>0</v>
      </c>
      <c r="Q72" s="13">
        <f t="shared" si="24"/>
        <v>0</v>
      </c>
      <c r="R72" s="13">
        <f t="shared" ca="1" si="25"/>
        <v>0</v>
      </c>
      <c r="S72" s="17">
        <f t="shared" si="26"/>
        <v>0</v>
      </c>
    </row>
    <row r="73" spans="1:21" x14ac:dyDescent="0.3">
      <c r="A73">
        <f t="shared" ref="A73:A136" si="27">IF(C73=0,0,1)</f>
        <v>1</v>
      </c>
      <c r="B73" s="123">
        <f>'Formula (2)'!C72</f>
        <v>21002</v>
      </c>
      <c r="C73" s="12" t="str">
        <f t="shared" ref="C73:C134" si="28">IF(B73="","",VLOOKUP(B73,daftarakun,2,0))</f>
        <v>Utang Bank</v>
      </c>
      <c r="D73" s="12" t="str">
        <f t="shared" ref="D73:D134" si="29">IF(B73="","",VLOOKUP(B73,daftarakun,4,0))</f>
        <v>Db</v>
      </c>
      <c r="E73" s="27" t="str">
        <f t="shared" ref="E73:E134" si="30">IF(B73="","",VLOOKUP(B73,daftarakun,3,0))</f>
        <v>Nrc</v>
      </c>
      <c r="F73" s="25">
        <f t="shared" ref="F73:F134" si="31">IF(B73="","",VLOOKUP(B73,daftarakun,5,0))</f>
        <v>0</v>
      </c>
      <c r="G73" s="14">
        <f t="shared" ref="G73:G134" si="32">IF(B73="","",VLOOKUP(B73,daftarakun,6,0))</f>
        <v>0</v>
      </c>
      <c r="H73" s="16">
        <f t="shared" ref="H73:H134" ca="1" si="33">SUMIF(KBNS,B73,JB)</f>
        <v>0</v>
      </c>
      <c r="I73" s="16">
        <f t="shared" ref="I73:I134" ca="1" si="34">SUMIF(KBNS,B73,JK)</f>
        <v>0</v>
      </c>
      <c r="J73" s="15">
        <f t="shared" ref="J73:J134" ca="1" si="35">IF(D73="Db",F73+H73-G73-I73,0)</f>
        <v>0</v>
      </c>
      <c r="K73" s="16">
        <f t="shared" ref="K73:K134" si="36">IF(D73="Kr",G73+I73-F73-H73,0)</f>
        <v>0</v>
      </c>
      <c r="L73" s="13">
        <f t="shared" ref="L73:L134" ca="1" si="37">SUMIF(KBPNY,B73,JB)</f>
        <v>0</v>
      </c>
      <c r="M73" s="13">
        <f t="shared" ref="M73:M134" ca="1" si="38">SUMIF(KBPNY,B73,JK)</f>
        <v>0</v>
      </c>
      <c r="N73" s="13">
        <f t="shared" ref="N73:N134" ca="1" si="39">IF(D73="Db",J73+L73-K73-M73,0)</f>
        <v>0</v>
      </c>
      <c r="O73" s="13">
        <f t="shared" ref="O73:O134" si="40">IF(D73="Kr",K73+M73-J73-L73,0)</f>
        <v>0</v>
      </c>
      <c r="P73" s="13">
        <f t="shared" ref="P73:P134" si="41">IF(E73="Lr",N73,0)</f>
        <v>0</v>
      </c>
      <c r="Q73" s="13">
        <f t="shared" ref="Q73:Q134" si="42">IF(E73="Lr",O73,0)</f>
        <v>0</v>
      </c>
      <c r="R73" s="13">
        <f t="shared" ref="R73:R134" ca="1" si="43">IF(E73="Nrc",N73,0)</f>
        <v>0</v>
      </c>
      <c r="S73" s="17">
        <f t="shared" ref="S73:S134" si="44">IF(E73="Nrc",O73,0)</f>
        <v>0</v>
      </c>
    </row>
    <row r="74" spans="1:21" x14ac:dyDescent="0.3">
      <c r="A74">
        <f t="shared" si="27"/>
        <v>1</v>
      </c>
      <c r="B74" s="123">
        <f>'Formula (2)'!C73</f>
        <v>21003</v>
      </c>
      <c r="C74" s="12" t="str">
        <f t="shared" si="28"/>
        <v>Utang Bunga</v>
      </c>
      <c r="D74" s="12" t="str">
        <f t="shared" si="29"/>
        <v>Db</v>
      </c>
      <c r="E74" s="27" t="str">
        <f t="shared" si="30"/>
        <v>Nrc</v>
      </c>
      <c r="F74" s="25">
        <f t="shared" si="31"/>
        <v>0</v>
      </c>
      <c r="G74" s="14">
        <f t="shared" si="32"/>
        <v>0</v>
      </c>
      <c r="H74" s="16">
        <f t="shared" ca="1" si="33"/>
        <v>0</v>
      </c>
      <c r="I74" s="16">
        <f t="shared" ca="1" si="34"/>
        <v>0</v>
      </c>
      <c r="J74" s="15">
        <f t="shared" ca="1" si="35"/>
        <v>0</v>
      </c>
      <c r="K74" s="16">
        <f t="shared" si="36"/>
        <v>0</v>
      </c>
      <c r="L74" s="13">
        <f t="shared" ca="1" si="37"/>
        <v>0</v>
      </c>
      <c r="M74" s="13">
        <f t="shared" ca="1" si="38"/>
        <v>0</v>
      </c>
      <c r="N74" s="13">
        <f t="shared" ca="1" si="39"/>
        <v>0</v>
      </c>
      <c r="O74" s="13">
        <f t="shared" si="40"/>
        <v>0</v>
      </c>
      <c r="P74" s="13">
        <f t="shared" si="41"/>
        <v>0</v>
      </c>
      <c r="Q74" s="13">
        <f t="shared" si="42"/>
        <v>0</v>
      </c>
      <c r="R74" s="13">
        <f t="shared" ca="1" si="43"/>
        <v>0</v>
      </c>
      <c r="S74" s="17">
        <f t="shared" si="44"/>
        <v>0</v>
      </c>
    </row>
    <row r="75" spans="1:21" x14ac:dyDescent="0.3">
      <c r="A75">
        <f t="shared" si="27"/>
        <v>0</v>
      </c>
      <c r="B75" s="123">
        <f>'Formula (2)'!C74</f>
        <v>21004</v>
      </c>
      <c r="C75" s="12">
        <f t="shared" si="28"/>
        <v>0</v>
      </c>
      <c r="D75" s="12" t="str">
        <f t="shared" si="29"/>
        <v>Db</v>
      </c>
      <c r="E75" s="27" t="str">
        <f t="shared" si="30"/>
        <v>Nrc</v>
      </c>
      <c r="F75" s="25">
        <f t="shared" si="31"/>
        <v>0</v>
      </c>
      <c r="G75" s="14">
        <f t="shared" si="32"/>
        <v>0</v>
      </c>
      <c r="H75" s="16">
        <f t="shared" ca="1" si="33"/>
        <v>0</v>
      </c>
      <c r="I75" s="16">
        <f t="shared" ca="1" si="34"/>
        <v>0</v>
      </c>
      <c r="J75" s="15">
        <f t="shared" ca="1" si="35"/>
        <v>0</v>
      </c>
      <c r="K75" s="16">
        <f t="shared" si="36"/>
        <v>0</v>
      </c>
      <c r="L75" s="13">
        <f t="shared" ca="1" si="37"/>
        <v>0</v>
      </c>
      <c r="M75" s="13">
        <f t="shared" ca="1" si="38"/>
        <v>0</v>
      </c>
      <c r="N75" s="13">
        <f t="shared" ca="1" si="39"/>
        <v>0</v>
      </c>
      <c r="O75" s="13">
        <f t="shared" si="40"/>
        <v>0</v>
      </c>
      <c r="P75" s="13">
        <f t="shared" si="41"/>
        <v>0</v>
      </c>
      <c r="Q75" s="13">
        <f t="shared" si="42"/>
        <v>0</v>
      </c>
      <c r="R75" s="13">
        <f t="shared" ca="1" si="43"/>
        <v>0</v>
      </c>
      <c r="S75" s="17">
        <f t="shared" si="44"/>
        <v>0</v>
      </c>
    </row>
    <row r="76" spans="1:21" x14ac:dyDescent="0.3">
      <c r="A76">
        <f t="shared" si="27"/>
        <v>0</v>
      </c>
      <c r="B76" s="123">
        <f>'Formula (2)'!C75</f>
        <v>21005</v>
      </c>
      <c r="C76" s="12">
        <f t="shared" si="28"/>
        <v>0</v>
      </c>
      <c r="D76" s="12" t="str">
        <f t="shared" si="29"/>
        <v>Db</v>
      </c>
      <c r="E76" s="27" t="str">
        <f t="shared" si="30"/>
        <v>Nrc</v>
      </c>
      <c r="F76" s="25">
        <f t="shared" si="31"/>
        <v>0</v>
      </c>
      <c r="G76" s="14">
        <f t="shared" si="32"/>
        <v>0</v>
      </c>
      <c r="H76" s="16">
        <f t="shared" ca="1" si="33"/>
        <v>0</v>
      </c>
      <c r="I76" s="16">
        <f t="shared" ca="1" si="34"/>
        <v>0</v>
      </c>
      <c r="J76" s="15">
        <f t="shared" ca="1" si="35"/>
        <v>0</v>
      </c>
      <c r="K76" s="16">
        <f t="shared" si="36"/>
        <v>0</v>
      </c>
      <c r="L76" s="13">
        <f t="shared" ca="1" si="37"/>
        <v>0</v>
      </c>
      <c r="M76" s="13">
        <f t="shared" ca="1" si="38"/>
        <v>0</v>
      </c>
      <c r="N76" s="13">
        <f t="shared" ca="1" si="39"/>
        <v>0</v>
      </c>
      <c r="O76" s="13">
        <f t="shared" si="40"/>
        <v>0</v>
      </c>
      <c r="P76" s="13">
        <f t="shared" si="41"/>
        <v>0</v>
      </c>
      <c r="Q76" s="13">
        <f t="shared" si="42"/>
        <v>0</v>
      </c>
      <c r="R76" s="13">
        <f t="shared" ca="1" si="43"/>
        <v>0</v>
      </c>
      <c r="S76" s="17">
        <f t="shared" si="44"/>
        <v>0</v>
      </c>
    </row>
    <row r="77" spans="1:21" x14ac:dyDescent="0.3">
      <c r="A77">
        <f t="shared" si="27"/>
        <v>0</v>
      </c>
      <c r="B77" s="123">
        <f>'Formula (2)'!C76</f>
        <v>21006</v>
      </c>
      <c r="C77" s="12">
        <f t="shared" si="28"/>
        <v>0</v>
      </c>
      <c r="D77" s="12" t="str">
        <f t="shared" si="29"/>
        <v>Db</v>
      </c>
      <c r="E77" s="27" t="str">
        <f t="shared" si="30"/>
        <v>Nrc</v>
      </c>
      <c r="F77" s="25">
        <f t="shared" si="31"/>
        <v>0</v>
      </c>
      <c r="G77" s="14">
        <f t="shared" si="32"/>
        <v>0</v>
      </c>
      <c r="H77" s="16">
        <f t="shared" ca="1" si="33"/>
        <v>0</v>
      </c>
      <c r="I77" s="16">
        <f t="shared" ca="1" si="34"/>
        <v>0</v>
      </c>
      <c r="J77" s="15">
        <f t="shared" ca="1" si="35"/>
        <v>0</v>
      </c>
      <c r="K77" s="16">
        <f t="shared" si="36"/>
        <v>0</v>
      </c>
      <c r="L77" s="13">
        <f t="shared" ca="1" si="37"/>
        <v>0</v>
      </c>
      <c r="M77" s="13">
        <f t="shared" ca="1" si="38"/>
        <v>0</v>
      </c>
      <c r="N77" s="13">
        <f t="shared" ca="1" si="39"/>
        <v>0</v>
      </c>
      <c r="O77" s="13">
        <f t="shared" si="40"/>
        <v>0</v>
      </c>
      <c r="P77" s="13">
        <f t="shared" si="41"/>
        <v>0</v>
      </c>
      <c r="Q77" s="13">
        <f t="shared" si="42"/>
        <v>0</v>
      </c>
      <c r="R77" s="13">
        <f t="shared" ca="1" si="43"/>
        <v>0</v>
      </c>
      <c r="S77" s="17">
        <f t="shared" si="44"/>
        <v>0</v>
      </c>
      <c r="U77" s="66"/>
    </row>
    <row r="78" spans="1:21" x14ac:dyDescent="0.3">
      <c r="A78">
        <f t="shared" si="27"/>
        <v>0</v>
      </c>
      <c r="B78" s="123">
        <f>'Formula (2)'!C77</f>
        <v>21007</v>
      </c>
      <c r="C78" s="12">
        <f t="shared" si="28"/>
        <v>0</v>
      </c>
      <c r="D78" s="12" t="str">
        <f t="shared" si="29"/>
        <v>Db</v>
      </c>
      <c r="E78" s="27" t="str">
        <f t="shared" si="30"/>
        <v>Nrc</v>
      </c>
      <c r="F78" s="25">
        <f t="shared" si="31"/>
        <v>0</v>
      </c>
      <c r="G78" s="14">
        <f t="shared" si="32"/>
        <v>0</v>
      </c>
      <c r="H78" s="16">
        <f t="shared" ca="1" si="33"/>
        <v>0</v>
      </c>
      <c r="I78" s="16">
        <f t="shared" ca="1" si="34"/>
        <v>0</v>
      </c>
      <c r="J78" s="15">
        <f t="shared" ca="1" si="35"/>
        <v>0</v>
      </c>
      <c r="K78" s="16">
        <f t="shared" si="36"/>
        <v>0</v>
      </c>
      <c r="L78" s="13">
        <f t="shared" ca="1" si="37"/>
        <v>0</v>
      </c>
      <c r="M78" s="13">
        <f t="shared" ca="1" si="38"/>
        <v>0</v>
      </c>
      <c r="N78" s="13">
        <f t="shared" ca="1" si="39"/>
        <v>0</v>
      </c>
      <c r="O78" s="13">
        <f t="shared" si="40"/>
        <v>0</v>
      </c>
      <c r="P78" s="13">
        <f t="shared" si="41"/>
        <v>0</v>
      </c>
      <c r="Q78" s="13">
        <f t="shared" si="42"/>
        <v>0</v>
      </c>
      <c r="R78" s="13">
        <f t="shared" ca="1" si="43"/>
        <v>0</v>
      </c>
      <c r="S78" s="17">
        <f t="shared" si="44"/>
        <v>0</v>
      </c>
      <c r="U78" s="66"/>
    </row>
    <row r="79" spans="1:21" x14ac:dyDescent="0.3">
      <c r="A79">
        <f t="shared" si="27"/>
        <v>0</v>
      </c>
      <c r="B79" s="123">
        <f>'Formula (2)'!C78</f>
        <v>21008</v>
      </c>
      <c r="C79" s="12">
        <f t="shared" si="28"/>
        <v>0</v>
      </c>
      <c r="D79" s="12" t="str">
        <f t="shared" si="29"/>
        <v>Db</v>
      </c>
      <c r="E79" s="27" t="str">
        <f t="shared" si="30"/>
        <v>Nrc</v>
      </c>
      <c r="F79" s="25">
        <f t="shared" si="31"/>
        <v>0</v>
      </c>
      <c r="G79" s="14">
        <f t="shared" si="32"/>
        <v>0</v>
      </c>
      <c r="H79" s="16">
        <f t="shared" ca="1" si="33"/>
        <v>0</v>
      </c>
      <c r="I79" s="16">
        <f t="shared" ca="1" si="34"/>
        <v>0</v>
      </c>
      <c r="J79" s="15">
        <f t="shared" ca="1" si="35"/>
        <v>0</v>
      </c>
      <c r="K79" s="16">
        <f t="shared" si="36"/>
        <v>0</v>
      </c>
      <c r="L79" s="13">
        <f t="shared" ca="1" si="37"/>
        <v>0</v>
      </c>
      <c r="M79" s="13">
        <f t="shared" ca="1" si="38"/>
        <v>0</v>
      </c>
      <c r="N79" s="13">
        <f t="shared" ca="1" si="39"/>
        <v>0</v>
      </c>
      <c r="O79" s="13">
        <f t="shared" si="40"/>
        <v>0</v>
      </c>
      <c r="P79" s="13">
        <f t="shared" si="41"/>
        <v>0</v>
      </c>
      <c r="Q79" s="13">
        <f t="shared" si="42"/>
        <v>0</v>
      </c>
      <c r="R79" s="13">
        <f t="shared" ca="1" si="43"/>
        <v>0</v>
      </c>
      <c r="S79" s="17">
        <f t="shared" si="44"/>
        <v>0</v>
      </c>
      <c r="U79" s="66"/>
    </row>
    <row r="80" spans="1:21" x14ac:dyDescent="0.3">
      <c r="A80">
        <f t="shared" si="27"/>
        <v>0</v>
      </c>
      <c r="B80" s="123">
        <f>'Formula (2)'!C79</f>
        <v>21009</v>
      </c>
      <c r="C80" s="12">
        <f t="shared" si="28"/>
        <v>0</v>
      </c>
      <c r="D80" s="12" t="str">
        <f t="shared" si="29"/>
        <v>Db</v>
      </c>
      <c r="E80" s="27" t="str">
        <f t="shared" si="30"/>
        <v>Nrc</v>
      </c>
      <c r="F80" s="25">
        <f t="shared" si="31"/>
        <v>0</v>
      </c>
      <c r="G80" s="14">
        <f t="shared" si="32"/>
        <v>0</v>
      </c>
      <c r="H80" s="16">
        <f t="shared" ca="1" si="33"/>
        <v>0</v>
      </c>
      <c r="I80" s="16">
        <f t="shared" ca="1" si="34"/>
        <v>0</v>
      </c>
      <c r="J80" s="15">
        <f t="shared" ca="1" si="35"/>
        <v>0</v>
      </c>
      <c r="K80" s="16">
        <f t="shared" si="36"/>
        <v>0</v>
      </c>
      <c r="L80" s="13">
        <f t="shared" ca="1" si="37"/>
        <v>0</v>
      </c>
      <c r="M80" s="13">
        <f t="shared" ca="1" si="38"/>
        <v>0</v>
      </c>
      <c r="N80" s="13">
        <f t="shared" ca="1" si="39"/>
        <v>0</v>
      </c>
      <c r="O80" s="13">
        <f t="shared" si="40"/>
        <v>0</v>
      </c>
      <c r="P80" s="13">
        <f t="shared" si="41"/>
        <v>0</v>
      </c>
      <c r="Q80" s="13">
        <f t="shared" si="42"/>
        <v>0</v>
      </c>
      <c r="R80" s="13">
        <f t="shared" ca="1" si="43"/>
        <v>0</v>
      </c>
      <c r="S80" s="17">
        <f t="shared" si="44"/>
        <v>0</v>
      </c>
      <c r="U80" s="66"/>
    </row>
    <row r="81" spans="1:21" x14ac:dyDescent="0.3">
      <c r="A81">
        <f t="shared" si="27"/>
        <v>0</v>
      </c>
      <c r="B81" s="123">
        <f>'Formula (2)'!C80</f>
        <v>21010</v>
      </c>
      <c r="C81" s="12">
        <f t="shared" si="28"/>
        <v>0</v>
      </c>
      <c r="D81" s="12" t="str">
        <f t="shared" si="29"/>
        <v>Db</v>
      </c>
      <c r="E81" s="27" t="str">
        <f t="shared" si="30"/>
        <v>Nrc</v>
      </c>
      <c r="F81" s="25">
        <f t="shared" si="31"/>
        <v>0</v>
      </c>
      <c r="G81" s="14">
        <f t="shared" si="32"/>
        <v>0</v>
      </c>
      <c r="H81" s="16">
        <f t="shared" ca="1" si="33"/>
        <v>0</v>
      </c>
      <c r="I81" s="16">
        <f t="shared" ca="1" si="34"/>
        <v>0</v>
      </c>
      <c r="J81" s="15">
        <f t="shared" ca="1" si="35"/>
        <v>0</v>
      </c>
      <c r="K81" s="16">
        <f t="shared" si="36"/>
        <v>0</v>
      </c>
      <c r="L81" s="13">
        <f t="shared" ca="1" si="37"/>
        <v>0</v>
      </c>
      <c r="M81" s="13">
        <f t="shared" ca="1" si="38"/>
        <v>0</v>
      </c>
      <c r="N81" s="13">
        <f t="shared" ca="1" si="39"/>
        <v>0</v>
      </c>
      <c r="O81" s="13">
        <f t="shared" si="40"/>
        <v>0</v>
      </c>
      <c r="P81" s="13">
        <f t="shared" si="41"/>
        <v>0</v>
      </c>
      <c r="Q81" s="13">
        <f t="shared" si="42"/>
        <v>0</v>
      </c>
      <c r="R81" s="13">
        <f t="shared" ca="1" si="43"/>
        <v>0</v>
      </c>
      <c r="S81" s="17">
        <f t="shared" si="44"/>
        <v>0</v>
      </c>
      <c r="U81" s="66"/>
    </row>
    <row r="82" spans="1:21" x14ac:dyDescent="0.3">
      <c r="A82">
        <f t="shared" si="27"/>
        <v>1</v>
      </c>
      <c r="B82" s="123">
        <f>'Formula (2)'!C81</f>
        <v>30000</v>
      </c>
      <c r="C82" s="12" t="str">
        <f t="shared" si="28"/>
        <v>Modal/Ekuitas</v>
      </c>
      <c r="D82" s="12" t="str">
        <f t="shared" si="29"/>
        <v>Kr</v>
      </c>
      <c r="E82" s="27" t="str">
        <f t="shared" si="30"/>
        <v>Nrc</v>
      </c>
      <c r="F82" s="25">
        <f t="shared" si="31"/>
        <v>0</v>
      </c>
      <c r="G82" s="14">
        <f t="shared" si="32"/>
        <v>100000</v>
      </c>
      <c r="H82" s="16">
        <f t="shared" ca="1" si="33"/>
        <v>0</v>
      </c>
      <c r="I82" s="16">
        <f t="shared" ca="1" si="34"/>
        <v>0</v>
      </c>
      <c r="J82" s="15">
        <f t="shared" si="35"/>
        <v>0</v>
      </c>
      <c r="K82" s="16">
        <f t="shared" ca="1" si="36"/>
        <v>100000</v>
      </c>
      <c r="L82" s="13">
        <f t="shared" ca="1" si="37"/>
        <v>0</v>
      </c>
      <c r="M82" s="13">
        <f t="shared" ca="1" si="38"/>
        <v>0</v>
      </c>
      <c r="N82" s="13">
        <f t="shared" si="39"/>
        <v>0</v>
      </c>
      <c r="O82" s="13">
        <f t="shared" ca="1" si="40"/>
        <v>100000</v>
      </c>
      <c r="P82" s="13">
        <f t="shared" si="41"/>
        <v>0</v>
      </c>
      <c r="Q82" s="13">
        <f t="shared" si="42"/>
        <v>0</v>
      </c>
      <c r="R82" s="13">
        <f t="shared" si="43"/>
        <v>0</v>
      </c>
      <c r="S82" s="17">
        <f t="shared" ca="1" si="44"/>
        <v>100000</v>
      </c>
      <c r="U82" s="66"/>
    </row>
    <row r="83" spans="1:21" x14ac:dyDescent="0.3">
      <c r="A83">
        <f t="shared" si="27"/>
        <v>1</v>
      </c>
      <c r="B83" s="123">
        <f>'Formula (2)'!C82</f>
        <v>30001</v>
      </c>
      <c r="C83" s="12" t="str">
        <f t="shared" si="28"/>
        <v>Prive</v>
      </c>
      <c r="D83" s="12" t="str">
        <f t="shared" si="29"/>
        <v>Db</v>
      </c>
      <c r="E83" s="27" t="str">
        <f t="shared" si="30"/>
        <v>Nrc</v>
      </c>
      <c r="F83" s="25">
        <f t="shared" si="31"/>
        <v>0</v>
      </c>
      <c r="G83" s="14">
        <f t="shared" si="32"/>
        <v>0</v>
      </c>
      <c r="H83" s="16">
        <f t="shared" ca="1" si="33"/>
        <v>0</v>
      </c>
      <c r="I83" s="16">
        <f t="shared" ca="1" si="34"/>
        <v>0</v>
      </c>
      <c r="J83" s="15">
        <f t="shared" ca="1" si="35"/>
        <v>0</v>
      </c>
      <c r="K83" s="16">
        <f t="shared" si="36"/>
        <v>0</v>
      </c>
      <c r="L83" s="13">
        <f t="shared" ca="1" si="37"/>
        <v>0</v>
      </c>
      <c r="M83" s="13">
        <f t="shared" ca="1" si="38"/>
        <v>0</v>
      </c>
      <c r="N83" s="13">
        <f t="shared" ca="1" si="39"/>
        <v>0</v>
      </c>
      <c r="O83" s="13">
        <f t="shared" si="40"/>
        <v>0</v>
      </c>
      <c r="P83" s="13">
        <f t="shared" si="41"/>
        <v>0</v>
      </c>
      <c r="Q83" s="13">
        <f t="shared" si="42"/>
        <v>0</v>
      </c>
      <c r="R83" s="13">
        <f t="shared" ca="1" si="43"/>
        <v>0</v>
      </c>
      <c r="S83" s="17">
        <f t="shared" si="44"/>
        <v>0</v>
      </c>
      <c r="U83" s="66"/>
    </row>
    <row r="84" spans="1:21" x14ac:dyDescent="0.3">
      <c r="A84">
        <f t="shared" si="27"/>
        <v>1</v>
      </c>
      <c r="B84" s="123">
        <f>'Formula (2)'!C83</f>
        <v>30002</v>
      </c>
      <c r="C84" s="12" t="str">
        <f t="shared" si="28"/>
        <v>Ikhtisar Laba Rugi</v>
      </c>
      <c r="D84" s="12" t="str">
        <f t="shared" si="29"/>
        <v>Db</v>
      </c>
      <c r="E84" s="27" t="str">
        <f t="shared" si="30"/>
        <v>Nrc</v>
      </c>
      <c r="F84" s="25">
        <f t="shared" si="31"/>
        <v>0</v>
      </c>
      <c r="G84" s="14">
        <f t="shared" si="32"/>
        <v>0</v>
      </c>
      <c r="H84" s="16">
        <f t="shared" ca="1" si="33"/>
        <v>0</v>
      </c>
      <c r="I84" s="16">
        <f t="shared" ca="1" si="34"/>
        <v>0</v>
      </c>
      <c r="J84" s="15">
        <f t="shared" ca="1" si="35"/>
        <v>0</v>
      </c>
      <c r="K84" s="16">
        <f t="shared" si="36"/>
        <v>0</v>
      </c>
      <c r="L84" s="13">
        <f t="shared" ca="1" si="37"/>
        <v>0</v>
      </c>
      <c r="M84" s="13">
        <f t="shared" ca="1" si="38"/>
        <v>0</v>
      </c>
      <c r="N84" s="13">
        <f t="shared" ca="1" si="39"/>
        <v>0</v>
      </c>
      <c r="O84" s="13">
        <f t="shared" si="40"/>
        <v>0</v>
      </c>
      <c r="P84" s="13">
        <f t="shared" si="41"/>
        <v>0</v>
      </c>
      <c r="Q84" s="13">
        <f t="shared" si="42"/>
        <v>0</v>
      </c>
      <c r="R84" s="13">
        <f t="shared" ca="1" si="43"/>
        <v>0</v>
      </c>
      <c r="S84" s="17">
        <f t="shared" si="44"/>
        <v>0</v>
      </c>
      <c r="U84" s="66"/>
    </row>
    <row r="85" spans="1:21" x14ac:dyDescent="0.3">
      <c r="A85">
        <f t="shared" si="27"/>
        <v>0</v>
      </c>
      <c r="B85" s="123">
        <f>'Formula (2)'!C84</f>
        <v>30003</v>
      </c>
      <c r="C85" s="12">
        <f t="shared" si="28"/>
        <v>0</v>
      </c>
      <c r="D85" s="12" t="str">
        <f t="shared" si="29"/>
        <v>Db</v>
      </c>
      <c r="E85" s="27" t="str">
        <f t="shared" si="30"/>
        <v>Nrc</v>
      </c>
      <c r="F85" s="25">
        <f t="shared" si="31"/>
        <v>0</v>
      </c>
      <c r="G85" s="14">
        <f t="shared" si="32"/>
        <v>0</v>
      </c>
      <c r="H85" s="16">
        <f t="shared" ca="1" si="33"/>
        <v>0</v>
      </c>
      <c r="I85" s="16">
        <f t="shared" ca="1" si="34"/>
        <v>0</v>
      </c>
      <c r="J85" s="15">
        <f t="shared" ca="1" si="35"/>
        <v>0</v>
      </c>
      <c r="K85" s="16">
        <f t="shared" si="36"/>
        <v>0</v>
      </c>
      <c r="L85" s="13">
        <f t="shared" ca="1" si="37"/>
        <v>0</v>
      </c>
      <c r="M85" s="13">
        <f t="shared" ca="1" si="38"/>
        <v>0</v>
      </c>
      <c r="N85" s="13">
        <f t="shared" ca="1" si="39"/>
        <v>0</v>
      </c>
      <c r="O85" s="13">
        <f t="shared" si="40"/>
        <v>0</v>
      </c>
      <c r="P85" s="13">
        <f t="shared" si="41"/>
        <v>0</v>
      </c>
      <c r="Q85" s="13">
        <f t="shared" si="42"/>
        <v>0</v>
      </c>
      <c r="R85" s="13">
        <f t="shared" ca="1" si="43"/>
        <v>0</v>
      </c>
      <c r="S85" s="17">
        <f t="shared" si="44"/>
        <v>0</v>
      </c>
      <c r="U85" s="66"/>
    </row>
    <row r="86" spans="1:21" x14ac:dyDescent="0.3">
      <c r="A86">
        <f t="shared" si="27"/>
        <v>0</v>
      </c>
      <c r="B86" s="123">
        <f>'Formula (2)'!C85</f>
        <v>30004</v>
      </c>
      <c r="C86" s="12">
        <f t="shared" si="28"/>
        <v>0</v>
      </c>
      <c r="D86" s="12" t="str">
        <f t="shared" si="29"/>
        <v>Db</v>
      </c>
      <c r="E86" s="27" t="str">
        <f t="shared" si="30"/>
        <v>Nrc</v>
      </c>
      <c r="F86" s="25">
        <f t="shared" si="31"/>
        <v>0</v>
      </c>
      <c r="G86" s="14">
        <f t="shared" si="32"/>
        <v>0</v>
      </c>
      <c r="H86" s="16">
        <f t="shared" ca="1" si="33"/>
        <v>0</v>
      </c>
      <c r="I86" s="16">
        <f t="shared" ca="1" si="34"/>
        <v>0</v>
      </c>
      <c r="J86" s="15">
        <f t="shared" ca="1" si="35"/>
        <v>0</v>
      </c>
      <c r="K86" s="16">
        <f t="shared" si="36"/>
        <v>0</v>
      </c>
      <c r="L86" s="13">
        <f t="shared" ca="1" si="37"/>
        <v>0</v>
      </c>
      <c r="M86" s="13">
        <f t="shared" ca="1" si="38"/>
        <v>0</v>
      </c>
      <c r="N86" s="13">
        <f t="shared" ca="1" si="39"/>
        <v>0</v>
      </c>
      <c r="O86" s="13">
        <f t="shared" si="40"/>
        <v>0</v>
      </c>
      <c r="P86" s="13">
        <f t="shared" si="41"/>
        <v>0</v>
      </c>
      <c r="Q86" s="13">
        <f t="shared" si="42"/>
        <v>0</v>
      </c>
      <c r="R86" s="13">
        <f t="shared" ca="1" si="43"/>
        <v>0</v>
      </c>
      <c r="S86" s="17">
        <f t="shared" si="44"/>
        <v>0</v>
      </c>
      <c r="U86" s="66"/>
    </row>
    <row r="87" spans="1:21" x14ac:dyDescent="0.3">
      <c r="A87">
        <f t="shared" si="27"/>
        <v>0</v>
      </c>
      <c r="B87" s="123">
        <f>'Formula (2)'!C86</f>
        <v>30005</v>
      </c>
      <c r="C87" s="12">
        <f t="shared" si="28"/>
        <v>0</v>
      </c>
      <c r="D87" s="12" t="str">
        <f t="shared" si="29"/>
        <v>Db</v>
      </c>
      <c r="E87" s="27" t="str">
        <f t="shared" si="30"/>
        <v>Nrc</v>
      </c>
      <c r="F87" s="25">
        <f t="shared" si="31"/>
        <v>0</v>
      </c>
      <c r="G87" s="14">
        <f t="shared" si="32"/>
        <v>0</v>
      </c>
      <c r="H87" s="16">
        <f t="shared" ca="1" si="33"/>
        <v>0</v>
      </c>
      <c r="I87" s="16">
        <f t="shared" ca="1" si="34"/>
        <v>0</v>
      </c>
      <c r="J87" s="15">
        <f t="shared" ca="1" si="35"/>
        <v>0</v>
      </c>
      <c r="K87" s="16">
        <f t="shared" si="36"/>
        <v>0</v>
      </c>
      <c r="L87" s="13">
        <f t="shared" ca="1" si="37"/>
        <v>0</v>
      </c>
      <c r="M87" s="13">
        <f t="shared" ca="1" si="38"/>
        <v>0</v>
      </c>
      <c r="N87" s="13">
        <f t="shared" ca="1" si="39"/>
        <v>0</v>
      </c>
      <c r="O87" s="13">
        <f t="shared" si="40"/>
        <v>0</v>
      </c>
      <c r="P87" s="13">
        <f t="shared" si="41"/>
        <v>0</v>
      </c>
      <c r="Q87" s="13">
        <f t="shared" si="42"/>
        <v>0</v>
      </c>
      <c r="R87" s="13">
        <f t="shared" ca="1" si="43"/>
        <v>0</v>
      </c>
      <c r="S87" s="17">
        <f t="shared" si="44"/>
        <v>0</v>
      </c>
      <c r="U87" s="66"/>
    </row>
    <row r="88" spans="1:21" x14ac:dyDescent="0.3">
      <c r="A88">
        <f t="shared" si="27"/>
        <v>0</v>
      </c>
      <c r="B88" s="123">
        <f>'Formula (2)'!C87</f>
        <v>30006</v>
      </c>
      <c r="C88" s="12">
        <f t="shared" si="28"/>
        <v>0</v>
      </c>
      <c r="D88" s="12" t="str">
        <f t="shared" si="29"/>
        <v>Db</v>
      </c>
      <c r="E88" s="27" t="str">
        <f t="shared" si="30"/>
        <v>Nrc</v>
      </c>
      <c r="F88" s="25">
        <f t="shared" si="31"/>
        <v>0</v>
      </c>
      <c r="G88" s="14">
        <f t="shared" si="32"/>
        <v>0</v>
      </c>
      <c r="H88" s="16">
        <f t="shared" ca="1" si="33"/>
        <v>0</v>
      </c>
      <c r="I88" s="16">
        <f t="shared" ca="1" si="34"/>
        <v>0</v>
      </c>
      <c r="J88" s="15">
        <f t="shared" ca="1" si="35"/>
        <v>0</v>
      </c>
      <c r="K88" s="16">
        <f t="shared" si="36"/>
        <v>0</v>
      </c>
      <c r="L88" s="13">
        <f t="shared" ca="1" si="37"/>
        <v>0</v>
      </c>
      <c r="M88" s="13">
        <f t="shared" ca="1" si="38"/>
        <v>0</v>
      </c>
      <c r="N88" s="13">
        <f t="shared" ca="1" si="39"/>
        <v>0</v>
      </c>
      <c r="O88" s="13">
        <f t="shared" si="40"/>
        <v>0</v>
      </c>
      <c r="P88" s="13">
        <f t="shared" si="41"/>
        <v>0</v>
      </c>
      <c r="Q88" s="13">
        <f t="shared" si="42"/>
        <v>0</v>
      </c>
      <c r="R88" s="13">
        <f t="shared" ca="1" si="43"/>
        <v>0</v>
      </c>
      <c r="S88" s="17">
        <f t="shared" si="44"/>
        <v>0</v>
      </c>
      <c r="U88" s="66"/>
    </row>
    <row r="89" spans="1:21" x14ac:dyDescent="0.3">
      <c r="A89">
        <f t="shared" si="27"/>
        <v>0</v>
      </c>
      <c r="B89" s="123">
        <f>'Formula (2)'!C88</f>
        <v>30007</v>
      </c>
      <c r="C89" s="12">
        <f t="shared" si="28"/>
        <v>0</v>
      </c>
      <c r="D89" s="12" t="str">
        <f t="shared" si="29"/>
        <v>Db</v>
      </c>
      <c r="E89" s="27" t="str">
        <f t="shared" si="30"/>
        <v>Nrc</v>
      </c>
      <c r="F89" s="25">
        <f t="shared" si="31"/>
        <v>0</v>
      </c>
      <c r="G89" s="14">
        <f t="shared" si="32"/>
        <v>0</v>
      </c>
      <c r="H89" s="16">
        <f t="shared" ca="1" si="33"/>
        <v>0</v>
      </c>
      <c r="I89" s="16">
        <f t="shared" ca="1" si="34"/>
        <v>0</v>
      </c>
      <c r="J89" s="15">
        <f t="shared" ca="1" si="35"/>
        <v>0</v>
      </c>
      <c r="K89" s="16">
        <f t="shared" si="36"/>
        <v>0</v>
      </c>
      <c r="L89" s="13">
        <f t="shared" ca="1" si="37"/>
        <v>0</v>
      </c>
      <c r="M89" s="13">
        <f t="shared" ca="1" si="38"/>
        <v>0</v>
      </c>
      <c r="N89" s="13">
        <f t="shared" ca="1" si="39"/>
        <v>0</v>
      </c>
      <c r="O89" s="13">
        <f t="shared" si="40"/>
        <v>0</v>
      </c>
      <c r="P89" s="13">
        <f t="shared" si="41"/>
        <v>0</v>
      </c>
      <c r="Q89" s="13">
        <f t="shared" si="42"/>
        <v>0</v>
      </c>
      <c r="R89" s="13">
        <f t="shared" ca="1" si="43"/>
        <v>0</v>
      </c>
      <c r="S89" s="17">
        <f t="shared" si="44"/>
        <v>0</v>
      </c>
      <c r="U89" s="66"/>
    </row>
    <row r="90" spans="1:21" x14ac:dyDescent="0.3">
      <c r="A90">
        <f t="shared" si="27"/>
        <v>0</v>
      </c>
      <c r="B90" s="123">
        <f>'Formula (2)'!C89</f>
        <v>30008</v>
      </c>
      <c r="C90" s="12">
        <f t="shared" si="28"/>
        <v>0</v>
      </c>
      <c r="D90" s="12" t="str">
        <f t="shared" si="29"/>
        <v>Db</v>
      </c>
      <c r="E90" s="27" t="str">
        <f t="shared" si="30"/>
        <v>Nrc</v>
      </c>
      <c r="F90" s="25">
        <f t="shared" si="31"/>
        <v>0</v>
      </c>
      <c r="G90" s="14">
        <f t="shared" si="32"/>
        <v>0</v>
      </c>
      <c r="H90" s="16">
        <f t="shared" ca="1" si="33"/>
        <v>0</v>
      </c>
      <c r="I90" s="16">
        <f t="shared" ca="1" si="34"/>
        <v>0</v>
      </c>
      <c r="J90" s="15">
        <f t="shared" ca="1" si="35"/>
        <v>0</v>
      </c>
      <c r="K90" s="16">
        <f t="shared" si="36"/>
        <v>0</v>
      </c>
      <c r="L90" s="13">
        <f t="shared" ca="1" si="37"/>
        <v>0</v>
      </c>
      <c r="M90" s="13">
        <f t="shared" ca="1" si="38"/>
        <v>0</v>
      </c>
      <c r="N90" s="13">
        <f t="shared" ca="1" si="39"/>
        <v>0</v>
      </c>
      <c r="O90" s="13">
        <f t="shared" si="40"/>
        <v>0</v>
      </c>
      <c r="P90" s="13">
        <f t="shared" si="41"/>
        <v>0</v>
      </c>
      <c r="Q90" s="13">
        <f t="shared" si="42"/>
        <v>0</v>
      </c>
      <c r="R90" s="13">
        <f t="shared" ca="1" si="43"/>
        <v>0</v>
      </c>
      <c r="S90" s="17">
        <f t="shared" si="44"/>
        <v>0</v>
      </c>
      <c r="U90" s="66"/>
    </row>
    <row r="91" spans="1:21" x14ac:dyDescent="0.3">
      <c r="A91">
        <f t="shared" si="27"/>
        <v>0</v>
      </c>
      <c r="B91" s="123">
        <f>'Formula (2)'!C90</f>
        <v>30009</v>
      </c>
      <c r="C91" s="12">
        <f t="shared" si="28"/>
        <v>0</v>
      </c>
      <c r="D91" s="12" t="str">
        <f t="shared" si="29"/>
        <v>Db</v>
      </c>
      <c r="E91" s="27" t="str">
        <f t="shared" si="30"/>
        <v>Nrc</v>
      </c>
      <c r="F91" s="25">
        <f t="shared" si="31"/>
        <v>0</v>
      </c>
      <c r="G91" s="14">
        <f t="shared" si="32"/>
        <v>0</v>
      </c>
      <c r="H91" s="16">
        <f t="shared" ca="1" si="33"/>
        <v>0</v>
      </c>
      <c r="I91" s="16">
        <f t="shared" ca="1" si="34"/>
        <v>0</v>
      </c>
      <c r="J91" s="15">
        <f t="shared" ca="1" si="35"/>
        <v>0</v>
      </c>
      <c r="K91" s="16">
        <f t="shared" si="36"/>
        <v>0</v>
      </c>
      <c r="L91" s="13">
        <f t="shared" ca="1" si="37"/>
        <v>0</v>
      </c>
      <c r="M91" s="13">
        <f t="shared" ca="1" si="38"/>
        <v>0</v>
      </c>
      <c r="N91" s="13">
        <f t="shared" ca="1" si="39"/>
        <v>0</v>
      </c>
      <c r="O91" s="13">
        <f t="shared" si="40"/>
        <v>0</v>
      </c>
      <c r="P91" s="13">
        <f t="shared" si="41"/>
        <v>0</v>
      </c>
      <c r="Q91" s="13">
        <f t="shared" si="42"/>
        <v>0</v>
      </c>
      <c r="R91" s="13">
        <f t="shared" ca="1" si="43"/>
        <v>0</v>
      </c>
      <c r="S91" s="17">
        <f t="shared" si="44"/>
        <v>0</v>
      </c>
      <c r="U91" s="66"/>
    </row>
    <row r="92" spans="1:21" x14ac:dyDescent="0.3">
      <c r="A92">
        <f t="shared" si="27"/>
        <v>0</v>
      </c>
      <c r="B92" s="123">
        <f>'Formula (2)'!C91</f>
        <v>30009</v>
      </c>
      <c r="C92" s="12">
        <f t="shared" si="28"/>
        <v>0</v>
      </c>
      <c r="D92" s="12" t="str">
        <f t="shared" si="29"/>
        <v>Db</v>
      </c>
      <c r="E92" s="27" t="str">
        <f t="shared" si="30"/>
        <v>Nrc</v>
      </c>
      <c r="F92" s="25">
        <f t="shared" si="31"/>
        <v>0</v>
      </c>
      <c r="G92" s="14">
        <f t="shared" si="32"/>
        <v>0</v>
      </c>
      <c r="H92" s="16">
        <f t="shared" ca="1" si="33"/>
        <v>0</v>
      </c>
      <c r="I92" s="16">
        <f t="shared" ca="1" si="34"/>
        <v>0</v>
      </c>
      <c r="J92" s="15">
        <f t="shared" ca="1" si="35"/>
        <v>0</v>
      </c>
      <c r="K92" s="16">
        <f t="shared" si="36"/>
        <v>0</v>
      </c>
      <c r="L92" s="13">
        <f t="shared" ca="1" si="37"/>
        <v>0</v>
      </c>
      <c r="M92" s="13">
        <f t="shared" ca="1" si="38"/>
        <v>0</v>
      </c>
      <c r="N92" s="13">
        <f t="shared" ca="1" si="39"/>
        <v>0</v>
      </c>
      <c r="O92" s="13">
        <f t="shared" si="40"/>
        <v>0</v>
      </c>
      <c r="P92" s="13">
        <f t="shared" si="41"/>
        <v>0</v>
      </c>
      <c r="Q92" s="13">
        <f t="shared" si="42"/>
        <v>0</v>
      </c>
      <c r="R92" s="13">
        <f t="shared" ca="1" si="43"/>
        <v>0</v>
      </c>
      <c r="S92" s="17">
        <f t="shared" si="44"/>
        <v>0</v>
      </c>
      <c r="U92" s="66"/>
    </row>
    <row r="93" spans="1:21" x14ac:dyDescent="0.3">
      <c r="A93">
        <f t="shared" si="27"/>
        <v>0</v>
      </c>
      <c r="B93" s="123">
        <f>'Formula (2)'!C92</f>
        <v>30010</v>
      </c>
      <c r="C93" s="12">
        <f t="shared" si="28"/>
        <v>0</v>
      </c>
      <c r="D93" s="12" t="str">
        <f t="shared" si="29"/>
        <v>Db</v>
      </c>
      <c r="E93" s="27" t="str">
        <f t="shared" si="30"/>
        <v>Nrc</v>
      </c>
      <c r="F93" s="25">
        <f t="shared" si="31"/>
        <v>0</v>
      </c>
      <c r="G93" s="14">
        <f t="shared" si="32"/>
        <v>0</v>
      </c>
      <c r="H93" s="16">
        <f t="shared" ca="1" si="33"/>
        <v>0</v>
      </c>
      <c r="I93" s="16">
        <f t="shared" ca="1" si="34"/>
        <v>0</v>
      </c>
      <c r="J93" s="15">
        <f t="shared" ca="1" si="35"/>
        <v>0</v>
      </c>
      <c r="K93" s="16">
        <f t="shared" si="36"/>
        <v>0</v>
      </c>
      <c r="L93" s="13">
        <f t="shared" ca="1" si="37"/>
        <v>0</v>
      </c>
      <c r="M93" s="13">
        <f t="shared" ca="1" si="38"/>
        <v>0</v>
      </c>
      <c r="N93" s="13">
        <f t="shared" ca="1" si="39"/>
        <v>0</v>
      </c>
      <c r="O93" s="13">
        <f t="shared" si="40"/>
        <v>0</v>
      </c>
      <c r="P93" s="13">
        <f t="shared" si="41"/>
        <v>0</v>
      </c>
      <c r="Q93" s="13">
        <f t="shared" si="42"/>
        <v>0</v>
      </c>
      <c r="R93" s="13">
        <f t="shared" ca="1" si="43"/>
        <v>0</v>
      </c>
      <c r="S93" s="17">
        <f t="shared" si="44"/>
        <v>0</v>
      </c>
      <c r="U93" s="66"/>
    </row>
    <row r="94" spans="1:21" x14ac:dyDescent="0.3">
      <c r="A94">
        <f t="shared" si="27"/>
        <v>1</v>
      </c>
      <c r="B94" s="123">
        <f>'Formula (2)'!C93</f>
        <v>40000</v>
      </c>
      <c r="C94" s="12" t="str">
        <f t="shared" si="28"/>
        <v>Pendapatan oprasional</v>
      </c>
      <c r="D94" s="12" t="str">
        <f t="shared" si="29"/>
        <v>Kr</v>
      </c>
      <c r="E94" s="27" t="str">
        <f t="shared" si="30"/>
        <v>Lr</v>
      </c>
      <c r="F94" s="25">
        <f t="shared" si="31"/>
        <v>0</v>
      </c>
      <c r="G94" s="14">
        <f t="shared" si="32"/>
        <v>0</v>
      </c>
      <c r="H94" s="16">
        <f t="shared" ca="1" si="33"/>
        <v>0</v>
      </c>
      <c r="I94" s="16">
        <f t="shared" ca="1" si="34"/>
        <v>0</v>
      </c>
      <c r="J94" s="15">
        <f t="shared" si="35"/>
        <v>0</v>
      </c>
      <c r="K94" s="16">
        <f t="shared" ca="1" si="36"/>
        <v>0</v>
      </c>
      <c r="L94" s="13">
        <f t="shared" ca="1" si="37"/>
        <v>0</v>
      </c>
      <c r="M94" s="13">
        <f t="shared" ca="1" si="38"/>
        <v>0</v>
      </c>
      <c r="N94" s="13">
        <f t="shared" si="39"/>
        <v>0</v>
      </c>
      <c r="O94" s="13">
        <f t="shared" ca="1" si="40"/>
        <v>0</v>
      </c>
      <c r="P94" s="13">
        <f t="shared" si="41"/>
        <v>0</v>
      </c>
      <c r="Q94" s="13">
        <f t="shared" ca="1" si="42"/>
        <v>0</v>
      </c>
      <c r="R94" s="13">
        <f t="shared" si="43"/>
        <v>0</v>
      </c>
      <c r="S94" s="17">
        <f t="shared" si="44"/>
        <v>0</v>
      </c>
      <c r="U94" s="66"/>
    </row>
    <row r="95" spans="1:21" x14ac:dyDescent="0.3">
      <c r="A95">
        <f t="shared" si="27"/>
        <v>1</v>
      </c>
      <c r="B95" s="123">
        <f>'Formula (2)'!C94</f>
        <v>40001</v>
      </c>
      <c r="C95" s="12" t="str">
        <f t="shared" si="28"/>
        <v>Pendapatan Bunga</v>
      </c>
      <c r="D95" s="12" t="str">
        <f t="shared" si="29"/>
        <v>Kr</v>
      </c>
      <c r="E95" s="27" t="str">
        <f t="shared" si="30"/>
        <v>Lr</v>
      </c>
      <c r="F95" s="25">
        <f t="shared" si="31"/>
        <v>0</v>
      </c>
      <c r="G95" s="14">
        <f t="shared" si="32"/>
        <v>0</v>
      </c>
      <c r="H95" s="16">
        <f t="shared" ca="1" si="33"/>
        <v>0</v>
      </c>
      <c r="I95" s="16">
        <f t="shared" ca="1" si="34"/>
        <v>0</v>
      </c>
      <c r="J95" s="15">
        <f t="shared" si="35"/>
        <v>0</v>
      </c>
      <c r="K95" s="16">
        <f t="shared" ca="1" si="36"/>
        <v>0</v>
      </c>
      <c r="L95" s="13">
        <f t="shared" ca="1" si="37"/>
        <v>0</v>
      </c>
      <c r="M95" s="13">
        <f t="shared" ca="1" si="38"/>
        <v>0</v>
      </c>
      <c r="N95" s="13">
        <f t="shared" si="39"/>
        <v>0</v>
      </c>
      <c r="O95" s="13">
        <f t="shared" ca="1" si="40"/>
        <v>0</v>
      </c>
      <c r="P95" s="13">
        <f t="shared" si="41"/>
        <v>0</v>
      </c>
      <c r="Q95" s="13">
        <f t="shared" ca="1" si="42"/>
        <v>0</v>
      </c>
      <c r="R95" s="13">
        <f t="shared" si="43"/>
        <v>0</v>
      </c>
      <c r="S95" s="17">
        <f t="shared" si="44"/>
        <v>0</v>
      </c>
      <c r="U95" s="66"/>
    </row>
    <row r="96" spans="1:21" x14ac:dyDescent="0.3">
      <c r="A96">
        <f t="shared" si="27"/>
        <v>1</v>
      </c>
      <c r="B96" s="123">
        <f>'Formula (2)'!C95</f>
        <v>40002</v>
      </c>
      <c r="C96" s="12" t="str">
        <f t="shared" si="28"/>
        <v>Retur Penjualan</v>
      </c>
      <c r="D96" s="12" t="str">
        <f t="shared" si="29"/>
        <v>Kr</v>
      </c>
      <c r="E96" s="27" t="str">
        <f t="shared" si="30"/>
        <v>Lr</v>
      </c>
      <c r="F96" s="25">
        <f t="shared" si="31"/>
        <v>0</v>
      </c>
      <c r="G96" s="14">
        <f t="shared" si="32"/>
        <v>0</v>
      </c>
      <c r="H96" s="16">
        <f t="shared" ca="1" si="33"/>
        <v>0</v>
      </c>
      <c r="I96" s="16">
        <f t="shared" ca="1" si="34"/>
        <v>0</v>
      </c>
      <c r="J96" s="15">
        <f t="shared" si="35"/>
        <v>0</v>
      </c>
      <c r="K96" s="16">
        <f t="shared" ca="1" si="36"/>
        <v>0</v>
      </c>
      <c r="L96" s="13">
        <f t="shared" ca="1" si="37"/>
        <v>0</v>
      </c>
      <c r="M96" s="13">
        <f t="shared" ca="1" si="38"/>
        <v>0</v>
      </c>
      <c r="N96" s="13">
        <f t="shared" si="39"/>
        <v>0</v>
      </c>
      <c r="O96" s="13">
        <f t="shared" ca="1" si="40"/>
        <v>0</v>
      </c>
      <c r="P96" s="13">
        <f t="shared" si="41"/>
        <v>0</v>
      </c>
      <c r="Q96" s="13">
        <f t="shared" ca="1" si="42"/>
        <v>0</v>
      </c>
      <c r="R96" s="13">
        <f t="shared" si="43"/>
        <v>0</v>
      </c>
      <c r="S96" s="17">
        <f t="shared" si="44"/>
        <v>0</v>
      </c>
      <c r="U96" s="66"/>
    </row>
    <row r="97" spans="1:21" x14ac:dyDescent="0.3">
      <c r="A97">
        <f t="shared" si="27"/>
        <v>1</v>
      </c>
      <c r="B97" s="123">
        <f>'Formula (2)'!C96</f>
        <v>40003</v>
      </c>
      <c r="C97" s="12" t="str">
        <f t="shared" si="28"/>
        <v>Potongan Penjualan</v>
      </c>
      <c r="D97" s="12" t="str">
        <f t="shared" si="29"/>
        <v>Kr</v>
      </c>
      <c r="E97" s="27" t="str">
        <f t="shared" si="30"/>
        <v>Lr</v>
      </c>
      <c r="F97" s="25">
        <f t="shared" si="31"/>
        <v>0</v>
      </c>
      <c r="G97" s="14">
        <f t="shared" si="32"/>
        <v>0</v>
      </c>
      <c r="H97" s="16">
        <f t="shared" ca="1" si="33"/>
        <v>0</v>
      </c>
      <c r="I97" s="16">
        <f t="shared" ca="1" si="34"/>
        <v>0</v>
      </c>
      <c r="J97" s="15">
        <f t="shared" si="35"/>
        <v>0</v>
      </c>
      <c r="K97" s="16">
        <f t="shared" ca="1" si="36"/>
        <v>0</v>
      </c>
      <c r="L97" s="13">
        <f t="shared" ca="1" si="37"/>
        <v>0</v>
      </c>
      <c r="M97" s="13">
        <f t="shared" ca="1" si="38"/>
        <v>0</v>
      </c>
      <c r="N97" s="13">
        <f t="shared" si="39"/>
        <v>0</v>
      </c>
      <c r="O97" s="13">
        <f t="shared" ca="1" si="40"/>
        <v>0</v>
      </c>
      <c r="P97" s="13">
        <f t="shared" si="41"/>
        <v>0</v>
      </c>
      <c r="Q97" s="13">
        <f t="shared" ca="1" si="42"/>
        <v>0</v>
      </c>
      <c r="R97" s="13">
        <f t="shared" si="43"/>
        <v>0</v>
      </c>
      <c r="S97" s="17">
        <f t="shared" si="44"/>
        <v>0</v>
      </c>
      <c r="U97" s="66"/>
    </row>
    <row r="98" spans="1:21" x14ac:dyDescent="0.3">
      <c r="A98">
        <f t="shared" si="27"/>
        <v>1</v>
      </c>
      <c r="B98" s="123">
        <f>'Formula (2)'!C97</f>
        <v>40004</v>
      </c>
      <c r="C98" s="12" t="str">
        <f t="shared" si="28"/>
        <v>Pembelian</v>
      </c>
      <c r="D98" s="12" t="str">
        <f t="shared" si="29"/>
        <v>Kr</v>
      </c>
      <c r="E98" s="27" t="str">
        <f t="shared" si="30"/>
        <v>Lr</v>
      </c>
      <c r="F98" s="25">
        <f t="shared" si="31"/>
        <v>0</v>
      </c>
      <c r="G98" s="14">
        <f t="shared" si="32"/>
        <v>0</v>
      </c>
      <c r="H98" s="16">
        <f t="shared" ca="1" si="33"/>
        <v>0</v>
      </c>
      <c r="I98" s="16">
        <f t="shared" ca="1" si="34"/>
        <v>0</v>
      </c>
      <c r="J98" s="15">
        <f t="shared" si="35"/>
        <v>0</v>
      </c>
      <c r="K98" s="16">
        <f t="shared" ca="1" si="36"/>
        <v>0</v>
      </c>
      <c r="L98" s="13">
        <f t="shared" ca="1" si="37"/>
        <v>0</v>
      </c>
      <c r="M98" s="13">
        <f t="shared" ca="1" si="38"/>
        <v>0</v>
      </c>
      <c r="N98" s="13">
        <f t="shared" si="39"/>
        <v>0</v>
      </c>
      <c r="O98" s="13">
        <f t="shared" ca="1" si="40"/>
        <v>0</v>
      </c>
      <c r="P98" s="13">
        <f t="shared" si="41"/>
        <v>0</v>
      </c>
      <c r="Q98" s="13">
        <f t="shared" ca="1" si="42"/>
        <v>0</v>
      </c>
      <c r="R98" s="13">
        <f t="shared" si="43"/>
        <v>0</v>
      </c>
      <c r="S98" s="17">
        <f t="shared" si="44"/>
        <v>0</v>
      </c>
      <c r="U98" s="66"/>
    </row>
    <row r="99" spans="1:21" x14ac:dyDescent="0.3">
      <c r="A99">
        <f t="shared" si="27"/>
        <v>1</v>
      </c>
      <c r="B99" s="123">
        <f>'Formula (2)'!C98</f>
        <v>40005</v>
      </c>
      <c r="C99" s="12" t="str">
        <f t="shared" si="28"/>
        <v xml:space="preserve">Retur Pembelian </v>
      </c>
      <c r="D99" s="12" t="str">
        <f t="shared" si="29"/>
        <v>Kr</v>
      </c>
      <c r="E99" s="27" t="str">
        <f t="shared" si="30"/>
        <v>Lr</v>
      </c>
      <c r="F99" s="25">
        <f t="shared" si="31"/>
        <v>0</v>
      </c>
      <c r="G99" s="14">
        <f t="shared" si="32"/>
        <v>1000000</v>
      </c>
      <c r="H99" s="16">
        <f t="shared" ca="1" si="33"/>
        <v>0</v>
      </c>
      <c r="I99" s="16">
        <f t="shared" ca="1" si="34"/>
        <v>0</v>
      </c>
      <c r="J99" s="15">
        <f t="shared" si="35"/>
        <v>0</v>
      </c>
      <c r="K99" s="16">
        <f t="shared" ca="1" si="36"/>
        <v>1000000</v>
      </c>
      <c r="L99" s="13">
        <f t="shared" ca="1" si="37"/>
        <v>0</v>
      </c>
      <c r="M99" s="13">
        <f t="shared" ca="1" si="38"/>
        <v>0</v>
      </c>
      <c r="N99" s="13">
        <f t="shared" si="39"/>
        <v>0</v>
      </c>
      <c r="O99" s="13">
        <f t="shared" ca="1" si="40"/>
        <v>1000000</v>
      </c>
      <c r="P99" s="13">
        <f t="shared" si="41"/>
        <v>0</v>
      </c>
      <c r="Q99" s="13">
        <f t="shared" ca="1" si="42"/>
        <v>1000000</v>
      </c>
      <c r="R99" s="13">
        <f t="shared" si="43"/>
        <v>0</v>
      </c>
      <c r="S99" s="17">
        <f t="shared" si="44"/>
        <v>0</v>
      </c>
      <c r="U99" s="66"/>
    </row>
    <row r="100" spans="1:21" x14ac:dyDescent="0.3">
      <c r="A100">
        <f t="shared" si="27"/>
        <v>1</v>
      </c>
      <c r="B100" s="123">
        <f>'Formula (2)'!C99</f>
        <v>40006</v>
      </c>
      <c r="C100" s="12" t="str">
        <f t="shared" si="28"/>
        <v>Beban Angkut Pembelian</v>
      </c>
      <c r="D100" s="12" t="str">
        <f t="shared" si="29"/>
        <v>Kr</v>
      </c>
      <c r="E100" s="27" t="str">
        <f t="shared" si="30"/>
        <v>Lr</v>
      </c>
      <c r="F100" s="25">
        <f t="shared" si="31"/>
        <v>0</v>
      </c>
      <c r="G100" s="14">
        <f t="shared" si="32"/>
        <v>0</v>
      </c>
      <c r="H100" s="16">
        <f t="shared" ca="1" si="33"/>
        <v>0</v>
      </c>
      <c r="I100" s="16">
        <f t="shared" ca="1" si="34"/>
        <v>0</v>
      </c>
      <c r="J100" s="15">
        <f t="shared" si="35"/>
        <v>0</v>
      </c>
      <c r="K100" s="16">
        <f t="shared" ca="1" si="36"/>
        <v>0</v>
      </c>
      <c r="L100" s="13">
        <f t="shared" ca="1" si="37"/>
        <v>0</v>
      </c>
      <c r="M100" s="13">
        <f t="shared" ca="1" si="38"/>
        <v>0</v>
      </c>
      <c r="N100" s="13">
        <f t="shared" si="39"/>
        <v>0</v>
      </c>
      <c r="O100" s="13">
        <f t="shared" ca="1" si="40"/>
        <v>0</v>
      </c>
      <c r="P100" s="13">
        <f t="shared" si="41"/>
        <v>0</v>
      </c>
      <c r="Q100" s="13">
        <f t="shared" ca="1" si="42"/>
        <v>0</v>
      </c>
      <c r="R100" s="13">
        <f t="shared" si="43"/>
        <v>0</v>
      </c>
      <c r="S100" s="17">
        <f t="shared" si="44"/>
        <v>0</v>
      </c>
      <c r="U100" s="66"/>
    </row>
    <row r="101" spans="1:21" x14ac:dyDescent="0.3">
      <c r="A101">
        <f t="shared" si="27"/>
        <v>1</v>
      </c>
      <c r="B101" s="123">
        <f>'Formula (2)'!C100</f>
        <v>40007</v>
      </c>
      <c r="C101" s="12" t="str">
        <f t="shared" si="28"/>
        <v>IRL</v>
      </c>
      <c r="D101" s="12" t="str">
        <f t="shared" si="29"/>
        <v>Kr</v>
      </c>
      <c r="E101" s="27" t="str">
        <f t="shared" si="30"/>
        <v>Lr</v>
      </c>
      <c r="F101" s="25">
        <f t="shared" si="31"/>
        <v>0</v>
      </c>
      <c r="G101" s="14">
        <f t="shared" si="32"/>
        <v>0</v>
      </c>
      <c r="H101" s="16">
        <f t="shared" ca="1" si="33"/>
        <v>0</v>
      </c>
      <c r="I101" s="16">
        <f t="shared" ca="1" si="34"/>
        <v>0</v>
      </c>
      <c r="J101" s="15">
        <f t="shared" si="35"/>
        <v>0</v>
      </c>
      <c r="K101" s="16">
        <f t="shared" ca="1" si="36"/>
        <v>0</v>
      </c>
      <c r="L101" s="13">
        <f t="shared" ca="1" si="37"/>
        <v>0</v>
      </c>
      <c r="M101" s="13">
        <f t="shared" ca="1" si="38"/>
        <v>0</v>
      </c>
      <c r="N101" s="13">
        <f t="shared" si="39"/>
        <v>0</v>
      </c>
      <c r="O101" s="13">
        <f t="shared" ca="1" si="40"/>
        <v>0</v>
      </c>
      <c r="P101" s="13">
        <f t="shared" si="41"/>
        <v>0</v>
      </c>
      <c r="Q101" s="13">
        <f t="shared" ca="1" si="42"/>
        <v>0</v>
      </c>
      <c r="R101" s="13">
        <f t="shared" si="43"/>
        <v>0</v>
      </c>
      <c r="S101" s="17">
        <f t="shared" si="44"/>
        <v>0</v>
      </c>
      <c r="U101" s="66"/>
    </row>
    <row r="102" spans="1:21" x14ac:dyDescent="0.3">
      <c r="A102">
        <f t="shared" si="27"/>
        <v>1</v>
      </c>
      <c r="B102" s="123">
        <f>'Formula (2)'!C101</f>
        <v>40008</v>
      </c>
      <c r="C102" s="12" t="str">
        <f t="shared" si="28"/>
        <v xml:space="preserve">Potongan Pembelian </v>
      </c>
      <c r="D102" s="12" t="str">
        <f t="shared" si="29"/>
        <v>Kr</v>
      </c>
      <c r="E102" s="27" t="str">
        <f t="shared" si="30"/>
        <v>Lr</v>
      </c>
      <c r="F102" s="25">
        <f t="shared" si="31"/>
        <v>0</v>
      </c>
      <c r="G102" s="14">
        <f t="shared" si="32"/>
        <v>0</v>
      </c>
      <c r="H102" s="16">
        <f t="shared" ca="1" si="33"/>
        <v>0</v>
      </c>
      <c r="I102" s="16">
        <f t="shared" ca="1" si="34"/>
        <v>0</v>
      </c>
      <c r="J102" s="15">
        <f t="shared" si="35"/>
        <v>0</v>
      </c>
      <c r="K102" s="16">
        <f t="shared" ca="1" si="36"/>
        <v>0</v>
      </c>
      <c r="L102" s="13">
        <f t="shared" ca="1" si="37"/>
        <v>0</v>
      </c>
      <c r="M102" s="13">
        <f t="shared" ca="1" si="38"/>
        <v>0</v>
      </c>
      <c r="N102" s="13">
        <f t="shared" si="39"/>
        <v>0</v>
      </c>
      <c r="O102" s="13">
        <f t="shared" ca="1" si="40"/>
        <v>0</v>
      </c>
      <c r="P102" s="13">
        <f t="shared" si="41"/>
        <v>0</v>
      </c>
      <c r="Q102" s="13">
        <f t="shared" ca="1" si="42"/>
        <v>0</v>
      </c>
      <c r="R102" s="13">
        <f t="shared" si="43"/>
        <v>0</v>
      </c>
      <c r="S102" s="17">
        <f t="shared" si="44"/>
        <v>0</v>
      </c>
      <c r="U102" s="66"/>
    </row>
    <row r="103" spans="1:21" x14ac:dyDescent="0.3">
      <c r="A103">
        <f t="shared" si="27"/>
        <v>0</v>
      </c>
      <c r="B103" s="123">
        <f>'Formula (2)'!C102</f>
        <v>40009</v>
      </c>
      <c r="C103" s="12">
        <f t="shared" si="28"/>
        <v>0</v>
      </c>
      <c r="D103" s="12" t="str">
        <f t="shared" si="29"/>
        <v>Db</v>
      </c>
      <c r="E103" s="27" t="str">
        <f t="shared" si="30"/>
        <v>Nrc</v>
      </c>
      <c r="F103" s="25">
        <f t="shared" si="31"/>
        <v>0</v>
      </c>
      <c r="G103" s="14">
        <f t="shared" si="32"/>
        <v>0</v>
      </c>
      <c r="H103" s="16">
        <f t="shared" ca="1" si="33"/>
        <v>0</v>
      </c>
      <c r="I103" s="16">
        <f t="shared" ca="1" si="34"/>
        <v>0</v>
      </c>
      <c r="J103" s="15">
        <f t="shared" ca="1" si="35"/>
        <v>0</v>
      </c>
      <c r="K103" s="16">
        <f t="shared" si="36"/>
        <v>0</v>
      </c>
      <c r="L103" s="13">
        <f t="shared" ca="1" si="37"/>
        <v>0</v>
      </c>
      <c r="M103" s="13">
        <f t="shared" ca="1" si="38"/>
        <v>0</v>
      </c>
      <c r="N103" s="13">
        <f t="shared" ca="1" si="39"/>
        <v>0</v>
      </c>
      <c r="O103" s="13">
        <f t="shared" si="40"/>
        <v>0</v>
      </c>
      <c r="P103" s="13">
        <f t="shared" si="41"/>
        <v>0</v>
      </c>
      <c r="Q103" s="13">
        <f t="shared" si="42"/>
        <v>0</v>
      </c>
      <c r="R103" s="13">
        <f t="shared" ca="1" si="43"/>
        <v>0</v>
      </c>
      <c r="S103" s="17">
        <f t="shared" si="44"/>
        <v>0</v>
      </c>
      <c r="U103" s="66"/>
    </row>
    <row r="104" spans="1:21" x14ac:dyDescent="0.3">
      <c r="A104">
        <f t="shared" si="27"/>
        <v>0</v>
      </c>
      <c r="B104" s="123">
        <f>'Formula (2)'!C103</f>
        <v>40010</v>
      </c>
      <c r="C104" s="12">
        <f t="shared" si="28"/>
        <v>0</v>
      </c>
      <c r="D104" s="12" t="str">
        <f t="shared" si="29"/>
        <v>Db</v>
      </c>
      <c r="E104" s="27" t="str">
        <f t="shared" si="30"/>
        <v>Nrc</v>
      </c>
      <c r="F104" s="25">
        <f t="shared" si="31"/>
        <v>0</v>
      </c>
      <c r="G104" s="14">
        <f t="shared" si="32"/>
        <v>0</v>
      </c>
      <c r="H104" s="16">
        <f t="shared" ca="1" si="33"/>
        <v>0</v>
      </c>
      <c r="I104" s="16">
        <f t="shared" ca="1" si="34"/>
        <v>0</v>
      </c>
      <c r="J104" s="15">
        <f t="shared" ca="1" si="35"/>
        <v>0</v>
      </c>
      <c r="K104" s="16">
        <f t="shared" si="36"/>
        <v>0</v>
      </c>
      <c r="L104" s="13">
        <f t="shared" ca="1" si="37"/>
        <v>0</v>
      </c>
      <c r="M104" s="13">
        <f t="shared" ca="1" si="38"/>
        <v>0</v>
      </c>
      <c r="N104" s="13">
        <f t="shared" ca="1" si="39"/>
        <v>0</v>
      </c>
      <c r="O104" s="13">
        <f t="shared" si="40"/>
        <v>0</v>
      </c>
      <c r="P104" s="13">
        <f t="shared" si="41"/>
        <v>0</v>
      </c>
      <c r="Q104" s="13">
        <f t="shared" si="42"/>
        <v>0</v>
      </c>
      <c r="R104" s="13">
        <f t="shared" ca="1" si="43"/>
        <v>0</v>
      </c>
      <c r="S104" s="17">
        <f t="shared" si="44"/>
        <v>0</v>
      </c>
      <c r="U104" s="66"/>
    </row>
    <row r="105" spans="1:21" x14ac:dyDescent="0.3">
      <c r="A105">
        <f t="shared" si="27"/>
        <v>1</v>
      </c>
      <c r="B105" s="123">
        <f>'Formula (2)'!C104</f>
        <v>41000</v>
      </c>
      <c r="C105" s="12" t="str">
        <f t="shared" si="28"/>
        <v>Pendapatan Non Oprasional</v>
      </c>
      <c r="D105" s="12" t="str">
        <f t="shared" si="29"/>
        <v>Kr</v>
      </c>
      <c r="E105" s="27" t="str">
        <f t="shared" si="30"/>
        <v>Lr</v>
      </c>
      <c r="F105" s="25">
        <f t="shared" si="31"/>
        <v>0</v>
      </c>
      <c r="G105" s="14">
        <f t="shared" si="32"/>
        <v>0</v>
      </c>
      <c r="H105" s="16">
        <f t="shared" ca="1" si="33"/>
        <v>0</v>
      </c>
      <c r="I105" s="16">
        <f t="shared" ca="1" si="34"/>
        <v>0</v>
      </c>
      <c r="J105" s="15">
        <f t="shared" si="35"/>
        <v>0</v>
      </c>
      <c r="K105" s="16">
        <f t="shared" ca="1" si="36"/>
        <v>0</v>
      </c>
      <c r="L105" s="13">
        <f t="shared" ca="1" si="37"/>
        <v>0</v>
      </c>
      <c r="M105" s="13">
        <f t="shared" ca="1" si="38"/>
        <v>0</v>
      </c>
      <c r="N105" s="13">
        <f t="shared" si="39"/>
        <v>0</v>
      </c>
      <c r="O105" s="13">
        <f t="shared" ca="1" si="40"/>
        <v>0</v>
      </c>
      <c r="P105" s="13">
        <f t="shared" si="41"/>
        <v>0</v>
      </c>
      <c r="Q105" s="13">
        <f t="shared" ca="1" si="42"/>
        <v>0</v>
      </c>
      <c r="R105" s="13">
        <f t="shared" si="43"/>
        <v>0</v>
      </c>
      <c r="S105" s="17">
        <f t="shared" si="44"/>
        <v>0</v>
      </c>
      <c r="U105" s="66"/>
    </row>
    <row r="106" spans="1:21" x14ac:dyDescent="0.3">
      <c r="A106">
        <f t="shared" si="27"/>
        <v>1</v>
      </c>
      <c r="B106" s="123">
        <f>'Formula (2)'!C105</f>
        <v>41001</v>
      </c>
      <c r="C106" s="12" t="str">
        <f t="shared" si="28"/>
        <v>Pendapatan Bunga</v>
      </c>
      <c r="D106" s="12" t="str">
        <f t="shared" si="29"/>
        <v>Kr</v>
      </c>
      <c r="E106" s="27" t="str">
        <f t="shared" si="30"/>
        <v>Lr</v>
      </c>
      <c r="F106" s="25">
        <f t="shared" si="31"/>
        <v>0</v>
      </c>
      <c r="G106" s="14">
        <f t="shared" si="32"/>
        <v>0</v>
      </c>
      <c r="H106" s="16">
        <f t="shared" ca="1" si="33"/>
        <v>0</v>
      </c>
      <c r="I106" s="16">
        <f t="shared" ca="1" si="34"/>
        <v>0</v>
      </c>
      <c r="J106" s="15">
        <f t="shared" si="35"/>
        <v>0</v>
      </c>
      <c r="K106" s="16">
        <f t="shared" ca="1" si="36"/>
        <v>0</v>
      </c>
      <c r="L106" s="13">
        <f t="shared" ca="1" si="37"/>
        <v>0</v>
      </c>
      <c r="M106" s="13">
        <f t="shared" ca="1" si="38"/>
        <v>0</v>
      </c>
      <c r="N106" s="13">
        <f t="shared" si="39"/>
        <v>0</v>
      </c>
      <c r="O106" s="13">
        <f t="shared" ca="1" si="40"/>
        <v>0</v>
      </c>
      <c r="P106" s="13">
        <f t="shared" si="41"/>
        <v>0</v>
      </c>
      <c r="Q106" s="13">
        <f t="shared" ca="1" si="42"/>
        <v>0</v>
      </c>
      <c r="R106" s="13">
        <f t="shared" si="43"/>
        <v>0</v>
      </c>
      <c r="S106" s="17">
        <f t="shared" si="44"/>
        <v>0</v>
      </c>
      <c r="U106" s="66"/>
    </row>
    <row r="107" spans="1:21" x14ac:dyDescent="0.3">
      <c r="A107">
        <f t="shared" si="27"/>
        <v>0</v>
      </c>
      <c r="B107" s="123">
        <f>'Formula (2)'!C106</f>
        <v>41002</v>
      </c>
      <c r="C107" s="12">
        <f t="shared" si="28"/>
        <v>0</v>
      </c>
      <c r="D107" s="12" t="str">
        <f t="shared" si="29"/>
        <v>Db</v>
      </c>
      <c r="E107" s="27" t="str">
        <f t="shared" si="30"/>
        <v>Nrc</v>
      </c>
      <c r="F107" s="25">
        <f t="shared" si="31"/>
        <v>0</v>
      </c>
      <c r="G107" s="14">
        <f t="shared" si="32"/>
        <v>0</v>
      </c>
      <c r="H107" s="16">
        <f t="shared" ca="1" si="33"/>
        <v>0</v>
      </c>
      <c r="I107" s="16">
        <f t="shared" ca="1" si="34"/>
        <v>0</v>
      </c>
      <c r="J107" s="15">
        <f t="shared" ca="1" si="35"/>
        <v>0</v>
      </c>
      <c r="K107" s="16">
        <f t="shared" si="36"/>
        <v>0</v>
      </c>
      <c r="L107" s="13">
        <f t="shared" ca="1" si="37"/>
        <v>0</v>
      </c>
      <c r="M107" s="13">
        <f t="shared" ca="1" si="38"/>
        <v>0</v>
      </c>
      <c r="N107" s="13">
        <f t="shared" ca="1" si="39"/>
        <v>0</v>
      </c>
      <c r="O107" s="13">
        <f t="shared" si="40"/>
        <v>0</v>
      </c>
      <c r="P107" s="13">
        <f t="shared" si="41"/>
        <v>0</v>
      </c>
      <c r="Q107" s="13">
        <f t="shared" si="42"/>
        <v>0</v>
      </c>
      <c r="R107" s="13">
        <f t="shared" ca="1" si="43"/>
        <v>0</v>
      </c>
      <c r="S107" s="17">
        <f t="shared" si="44"/>
        <v>0</v>
      </c>
      <c r="U107" s="66"/>
    </row>
    <row r="108" spans="1:21" x14ac:dyDescent="0.3">
      <c r="A108">
        <f t="shared" si="27"/>
        <v>0</v>
      </c>
      <c r="B108" s="123">
        <f>'Formula (2)'!C107</f>
        <v>41003</v>
      </c>
      <c r="C108" s="12">
        <f t="shared" si="28"/>
        <v>0</v>
      </c>
      <c r="D108" s="12" t="str">
        <f t="shared" si="29"/>
        <v>Db</v>
      </c>
      <c r="E108" s="27" t="str">
        <f t="shared" si="30"/>
        <v>Nrc</v>
      </c>
      <c r="F108" s="25">
        <f t="shared" si="31"/>
        <v>0</v>
      </c>
      <c r="G108" s="14">
        <f t="shared" si="32"/>
        <v>0</v>
      </c>
      <c r="H108" s="16">
        <f t="shared" ca="1" si="33"/>
        <v>0</v>
      </c>
      <c r="I108" s="16">
        <f t="shared" ca="1" si="34"/>
        <v>0</v>
      </c>
      <c r="J108" s="15">
        <f t="shared" ca="1" si="35"/>
        <v>0</v>
      </c>
      <c r="K108" s="16">
        <f t="shared" si="36"/>
        <v>0</v>
      </c>
      <c r="L108" s="13">
        <f t="shared" ca="1" si="37"/>
        <v>0</v>
      </c>
      <c r="M108" s="13">
        <f t="shared" ca="1" si="38"/>
        <v>0</v>
      </c>
      <c r="N108" s="13">
        <f t="shared" ca="1" si="39"/>
        <v>0</v>
      </c>
      <c r="O108" s="13">
        <f t="shared" si="40"/>
        <v>0</v>
      </c>
      <c r="P108" s="13">
        <f t="shared" si="41"/>
        <v>0</v>
      </c>
      <c r="Q108" s="13">
        <f t="shared" si="42"/>
        <v>0</v>
      </c>
      <c r="R108" s="13">
        <f t="shared" ca="1" si="43"/>
        <v>0</v>
      </c>
      <c r="S108" s="17">
        <f t="shared" si="44"/>
        <v>0</v>
      </c>
      <c r="U108" s="66"/>
    </row>
    <row r="109" spans="1:21" x14ac:dyDescent="0.3">
      <c r="A109">
        <f t="shared" si="27"/>
        <v>0</v>
      </c>
      <c r="B109" s="123">
        <f>'Formula (2)'!C108</f>
        <v>41004</v>
      </c>
      <c r="C109" s="12">
        <f t="shared" si="28"/>
        <v>0</v>
      </c>
      <c r="D109" s="12" t="str">
        <f t="shared" si="29"/>
        <v>Db</v>
      </c>
      <c r="E109" s="27" t="str">
        <f t="shared" si="30"/>
        <v>Nrc</v>
      </c>
      <c r="F109" s="25">
        <f t="shared" si="31"/>
        <v>0</v>
      </c>
      <c r="G109" s="14">
        <f t="shared" si="32"/>
        <v>0</v>
      </c>
      <c r="H109" s="16">
        <f t="shared" ca="1" si="33"/>
        <v>0</v>
      </c>
      <c r="I109" s="16">
        <f t="shared" ca="1" si="34"/>
        <v>0</v>
      </c>
      <c r="J109" s="15">
        <f t="shared" ca="1" si="35"/>
        <v>0</v>
      </c>
      <c r="K109" s="16">
        <f t="shared" si="36"/>
        <v>0</v>
      </c>
      <c r="L109" s="13">
        <f t="shared" ca="1" si="37"/>
        <v>0</v>
      </c>
      <c r="M109" s="13">
        <f t="shared" ca="1" si="38"/>
        <v>0</v>
      </c>
      <c r="N109" s="13">
        <f t="shared" ca="1" si="39"/>
        <v>0</v>
      </c>
      <c r="O109" s="13">
        <f t="shared" si="40"/>
        <v>0</v>
      </c>
      <c r="P109" s="13">
        <f t="shared" si="41"/>
        <v>0</v>
      </c>
      <c r="Q109" s="13">
        <f t="shared" si="42"/>
        <v>0</v>
      </c>
      <c r="R109" s="13">
        <f t="shared" ca="1" si="43"/>
        <v>0</v>
      </c>
      <c r="S109" s="17">
        <f t="shared" si="44"/>
        <v>0</v>
      </c>
      <c r="U109" s="66"/>
    </row>
    <row r="110" spans="1:21" x14ac:dyDescent="0.3">
      <c r="A110">
        <f t="shared" si="27"/>
        <v>0</v>
      </c>
      <c r="B110" s="123">
        <f>'Formula (2)'!C109</f>
        <v>41005</v>
      </c>
      <c r="C110" s="12">
        <f t="shared" si="28"/>
        <v>0</v>
      </c>
      <c r="D110" s="12" t="str">
        <f t="shared" si="29"/>
        <v>Db</v>
      </c>
      <c r="E110" s="27" t="str">
        <f t="shared" si="30"/>
        <v>Nrc</v>
      </c>
      <c r="F110" s="25">
        <f t="shared" si="31"/>
        <v>0</v>
      </c>
      <c r="G110" s="14">
        <f t="shared" si="32"/>
        <v>0</v>
      </c>
      <c r="H110" s="16">
        <f t="shared" ca="1" si="33"/>
        <v>0</v>
      </c>
      <c r="I110" s="16">
        <f t="shared" ca="1" si="34"/>
        <v>0</v>
      </c>
      <c r="J110" s="15">
        <f t="shared" ca="1" si="35"/>
        <v>0</v>
      </c>
      <c r="K110" s="16">
        <f t="shared" si="36"/>
        <v>0</v>
      </c>
      <c r="L110" s="13">
        <f t="shared" ca="1" si="37"/>
        <v>0</v>
      </c>
      <c r="M110" s="13">
        <f t="shared" ca="1" si="38"/>
        <v>0</v>
      </c>
      <c r="N110" s="13">
        <f t="shared" ca="1" si="39"/>
        <v>0</v>
      </c>
      <c r="O110" s="13">
        <f t="shared" si="40"/>
        <v>0</v>
      </c>
      <c r="P110" s="13">
        <f t="shared" si="41"/>
        <v>0</v>
      </c>
      <c r="Q110" s="13">
        <f t="shared" si="42"/>
        <v>0</v>
      </c>
      <c r="R110" s="13">
        <f t="shared" ca="1" si="43"/>
        <v>0</v>
      </c>
      <c r="S110" s="17">
        <f t="shared" si="44"/>
        <v>0</v>
      </c>
      <c r="U110" s="66"/>
    </row>
    <row r="111" spans="1:21" x14ac:dyDescent="0.3">
      <c r="A111">
        <f t="shared" si="27"/>
        <v>0</v>
      </c>
      <c r="B111" s="123">
        <f>'Formula (2)'!C110</f>
        <v>41006</v>
      </c>
      <c r="C111" s="12">
        <f t="shared" si="28"/>
        <v>0</v>
      </c>
      <c r="D111" s="12" t="str">
        <f t="shared" si="29"/>
        <v>Db</v>
      </c>
      <c r="E111" s="27" t="str">
        <f t="shared" si="30"/>
        <v>Nrc</v>
      </c>
      <c r="F111" s="25">
        <f t="shared" si="31"/>
        <v>0</v>
      </c>
      <c r="G111" s="14">
        <f t="shared" si="32"/>
        <v>0</v>
      </c>
      <c r="H111" s="16">
        <f t="shared" ca="1" si="33"/>
        <v>0</v>
      </c>
      <c r="I111" s="16">
        <f t="shared" ca="1" si="34"/>
        <v>0</v>
      </c>
      <c r="J111" s="15">
        <f t="shared" ca="1" si="35"/>
        <v>0</v>
      </c>
      <c r="K111" s="16">
        <f t="shared" si="36"/>
        <v>0</v>
      </c>
      <c r="L111" s="13">
        <f t="shared" ca="1" si="37"/>
        <v>0</v>
      </c>
      <c r="M111" s="13">
        <f t="shared" ca="1" si="38"/>
        <v>0</v>
      </c>
      <c r="N111" s="13">
        <f t="shared" ca="1" si="39"/>
        <v>0</v>
      </c>
      <c r="O111" s="13">
        <f t="shared" si="40"/>
        <v>0</v>
      </c>
      <c r="P111" s="13">
        <f t="shared" si="41"/>
        <v>0</v>
      </c>
      <c r="Q111" s="13">
        <f t="shared" si="42"/>
        <v>0</v>
      </c>
      <c r="R111" s="13">
        <f t="shared" ca="1" si="43"/>
        <v>0</v>
      </c>
      <c r="S111" s="17">
        <f t="shared" si="44"/>
        <v>0</v>
      </c>
      <c r="U111" s="66"/>
    </row>
    <row r="112" spans="1:21" x14ac:dyDescent="0.3">
      <c r="A112">
        <f t="shared" si="27"/>
        <v>0</v>
      </c>
      <c r="B112" s="123">
        <f>'Formula (2)'!C111</f>
        <v>41007</v>
      </c>
      <c r="C112" s="12">
        <f t="shared" si="28"/>
        <v>0</v>
      </c>
      <c r="D112" s="12" t="str">
        <f t="shared" si="29"/>
        <v>Db</v>
      </c>
      <c r="E112" s="27" t="str">
        <f t="shared" si="30"/>
        <v>Nrc</v>
      </c>
      <c r="F112" s="25">
        <f t="shared" si="31"/>
        <v>0</v>
      </c>
      <c r="G112" s="14">
        <f t="shared" si="32"/>
        <v>0</v>
      </c>
      <c r="H112" s="16">
        <f t="shared" ca="1" si="33"/>
        <v>0</v>
      </c>
      <c r="I112" s="16">
        <f t="shared" ca="1" si="34"/>
        <v>0</v>
      </c>
      <c r="J112" s="15">
        <f t="shared" ca="1" si="35"/>
        <v>0</v>
      </c>
      <c r="K112" s="16">
        <f t="shared" si="36"/>
        <v>0</v>
      </c>
      <c r="L112" s="13">
        <f t="shared" ca="1" si="37"/>
        <v>0</v>
      </c>
      <c r="M112" s="13">
        <f t="shared" ca="1" si="38"/>
        <v>0</v>
      </c>
      <c r="N112" s="13">
        <f t="shared" ca="1" si="39"/>
        <v>0</v>
      </c>
      <c r="O112" s="13">
        <f t="shared" si="40"/>
        <v>0</v>
      </c>
      <c r="P112" s="13">
        <f t="shared" si="41"/>
        <v>0</v>
      </c>
      <c r="Q112" s="13">
        <f t="shared" si="42"/>
        <v>0</v>
      </c>
      <c r="R112" s="13">
        <f t="shared" ca="1" si="43"/>
        <v>0</v>
      </c>
      <c r="S112" s="17">
        <f t="shared" si="44"/>
        <v>0</v>
      </c>
      <c r="U112" s="66"/>
    </row>
    <row r="113" spans="1:21" x14ac:dyDescent="0.3">
      <c r="A113">
        <f t="shared" si="27"/>
        <v>0</v>
      </c>
      <c r="B113" s="123">
        <f>'Formula (2)'!C112</f>
        <v>41008</v>
      </c>
      <c r="C113" s="12">
        <f t="shared" si="28"/>
        <v>0</v>
      </c>
      <c r="D113" s="12" t="str">
        <f t="shared" si="29"/>
        <v>Db</v>
      </c>
      <c r="E113" s="27" t="str">
        <f t="shared" si="30"/>
        <v>Nrc</v>
      </c>
      <c r="F113" s="25">
        <f t="shared" si="31"/>
        <v>0</v>
      </c>
      <c r="G113" s="14">
        <f t="shared" si="32"/>
        <v>0</v>
      </c>
      <c r="H113" s="16">
        <f t="shared" ca="1" si="33"/>
        <v>0</v>
      </c>
      <c r="I113" s="16">
        <f t="shared" ca="1" si="34"/>
        <v>0</v>
      </c>
      <c r="J113" s="15">
        <f t="shared" ca="1" si="35"/>
        <v>0</v>
      </c>
      <c r="K113" s="16">
        <f t="shared" si="36"/>
        <v>0</v>
      </c>
      <c r="L113" s="13">
        <f t="shared" ca="1" si="37"/>
        <v>0</v>
      </c>
      <c r="M113" s="13">
        <f t="shared" ca="1" si="38"/>
        <v>0</v>
      </c>
      <c r="N113" s="13">
        <f t="shared" ca="1" si="39"/>
        <v>0</v>
      </c>
      <c r="O113" s="13">
        <f t="shared" si="40"/>
        <v>0</v>
      </c>
      <c r="P113" s="13">
        <f t="shared" si="41"/>
        <v>0</v>
      </c>
      <c r="Q113" s="13">
        <f t="shared" si="42"/>
        <v>0</v>
      </c>
      <c r="R113" s="13">
        <f t="shared" ca="1" si="43"/>
        <v>0</v>
      </c>
      <c r="S113" s="17">
        <f t="shared" si="44"/>
        <v>0</v>
      </c>
      <c r="U113" s="66"/>
    </row>
    <row r="114" spans="1:21" x14ac:dyDescent="0.3">
      <c r="A114">
        <f t="shared" si="27"/>
        <v>0</v>
      </c>
      <c r="B114" s="123">
        <f>'Formula (2)'!C113</f>
        <v>41009</v>
      </c>
      <c r="C114" s="12">
        <f t="shared" si="28"/>
        <v>0</v>
      </c>
      <c r="D114" s="12" t="str">
        <f t="shared" si="29"/>
        <v>Db</v>
      </c>
      <c r="E114" s="27" t="str">
        <f t="shared" si="30"/>
        <v>Nrc</v>
      </c>
      <c r="F114" s="25">
        <f t="shared" si="31"/>
        <v>0</v>
      </c>
      <c r="G114" s="14">
        <f t="shared" si="32"/>
        <v>0</v>
      </c>
      <c r="H114" s="16">
        <f t="shared" ca="1" si="33"/>
        <v>0</v>
      </c>
      <c r="I114" s="16">
        <f t="shared" ca="1" si="34"/>
        <v>0</v>
      </c>
      <c r="J114" s="15">
        <f t="shared" ca="1" si="35"/>
        <v>0</v>
      </c>
      <c r="K114" s="16">
        <f t="shared" si="36"/>
        <v>0</v>
      </c>
      <c r="L114" s="13">
        <f t="shared" ca="1" si="37"/>
        <v>0</v>
      </c>
      <c r="M114" s="13">
        <f t="shared" ca="1" si="38"/>
        <v>0</v>
      </c>
      <c r="N114" s="13">
        <f t="shared" ca="1" si="39"/>
        <v>0</v>
      </c>
      <c r="O114" s="13">
        <f t="shared" si="40"/>
        <v>0</v>
      </c>
      <c r="P114" s="13">
        <f t="shared" si="41"/>
        <v>0</v>
      </c>
      <c r="Q114" s="13">
        <f t="shared" si="42"/>
        <v>0</v>
      </c>
      <c r="R114" s="13">
        <f t="shared" ca="1" si="43"/>
        <v>0</v>
      </c>
      <c r="S114" s="17">
        <f t="shared" si="44"/>
        <v>0</v>
      </c>
      <c r="U114" s="66"/>
    </row>
    <row r="115" spans="1:21" x14ac:dyDescent="0.3">
      <c r="A115">
        <f t="shared" si="27"/>
        <v>0</v>
      </c>
      <c r="B115" s="123">
        <f>'Formula (2)'!C114</f>
        <v>41010</v>
      </c>
      <c r="C115" s="12">
        <f t="shared" si="28"/>
        <v>0</v>
      </c>
      <c r="D115" s="12" t="str">
        <f t="shared" si="29"/>
        <v>Db</v>
      </c>
      <c r="E115" s="27" t="str">
        <f t="shared" si="30"/>
        <v>Nrc</v>
      </c>
      <c r="F115" s="25">
        <f t="shared" si="31"/>
        <v>0</v>
      </c>
      <c r="G115" s="14">
        <f t="shared" si="32"/>
        <v>0</v>
      </c>
      <c r="H115" s="16">
        <f t="shared" ca="1" si="33"/>
        <v>0</v>
      </c>
      <c r="I115" s="16">
        <f t="shared" ca="1" si="34"/>
        <v>0</v>
      </c>
      <c r="J115" s="15">
        <f t="shared" ca="1" si="35"/>
        <v>0</v>
      </c>
      <c r="K115" s="16">
        <f t="shared" si="36"/>
        <v>0</v>
      </c>
      <c r="L115" s="13">
        <f t="shared" ca="1" si="37"/>
        <v>0</v>
      </c>
      <c r="M115" s="13">
        <f t="shared" ca="1" si="38"/>
        <v>0</v>
      </c>
      <c r="N115" s="13">
        <f t="shared" ca="1" si="39"/>
        <v>0</v>
      </c>
      <c r="O115" s="13">
        <f t="shared" si="40"/>
        <v>0</v>
      </c>
      <c r="P115" s="13">
        <f t="shared" si="41"/>
        <v>0</v>
      </c>
      <c r="Q115" s="13">
        <f t="shared" si="42"/>
        <v>0</v>
      </c>
      <c r="R115" s="13">
        <f t="shared" ca="1" si="43"/>
        <v>0</v>
      </c>
      <c r="S115" s="17">
        <f t="shared" si="44"/>
        <v>0</v>
      </c>
      <c r="U115" s="66"/>
    </row>
    <row r="116" spans="1:21" x14ac:dyDescent="0.3">
      <c r="A116">
        <f t="shared" si="27"/>
        <v>1</v>
      </c>
      <c r="B116" s="123">
        <f>'Formula (2)'!C115</f>
        <v>50000</v>
      </c>
      <c r="C116" s="12" t="str">
        <f t="shared" si="28"/>
        <v>Beban Oprasional</v>
      </c>
      <c r="D116" s="12" t="str">
        <f t="shared" si="29"/>
        <v>Db</v>
      </c>
      <c r="E116" s="27" t="str">
        <f t="shared" si="30"/>
        <v>Lr</v>
      </c>
      <c r="F116" s="25">
        <f t="shared" si="31"/>
        <v>0</v>
      </c>
      <c r="G116" s="14">
        <f t="shared" si="32"/>
        <v>0</v>
      </c>
      <c r="H116" s="16">
        <f t="shared" ca="1" si="33"/>
        <v>0</v>
      </c>
      <c r="I116" s="16">
        <f t="shared" ca="1" si="34"/>
        <v>0</v>
      </c>
      <c r="J116" s="15">
        <f t="shared" ca="1" si="35"/>
        <v>0</v>
      </c>
      <c r="K116" s="16">
        <f t="shared" si="36"/>
        <v>0</v>
      </c>
      <c r="L116" s="13">
        <f t="shared" ca="1" si="37"/>
        <v>0</v>
      </c>
      <c r="M116" s="13">
        <f t="shared" ca="1" si="38"/>
        <v>0</v>
      </c>
      <c r="N116" s="13">
        <f t="shared" ca="1" si="39"/>
        <v>0</v>
      </c>
      <c r="O116" s="13">
        <f t="shared" si="40"/>
        <v>0</v>
      </c>
      <c r="P116" s="13">
        <f t="shared" ca="1" si="41"/>
        <v>0</v>
      </c>
      <c r="Q116" s="13">
        <f t="shared" si="42"/>
        <v>0</v>
      </c>
      <c r="R116" s="13">
        <f t="shared" si="43"/>
        <v>0</v>
      </c>
      <c r="S116" s="17">
        <f t="shared" si="44"/>
        <v>0</v>
      </c>
      <c r="U116" s="66"/>
    </row>
    <row r="117" spans="1:21" x14ac:dyDescent="0.3">
      <c r="A117">
        <f t="shared" si="27"/>
        <v>1</v>
      </c>
      <c r="B117" s="123">
        <f>'Formula (2)'!C116</f>
        <v>50001</v>
      </c>
      <c r="C117" s="12" t="str">
        <f t="shared" si="28"/>
        <v>Beban Gaji Toko</v>
      </c>
      <c r="D117" s="12" t="str">
        <f t="shared" si="29"/>
        <v>Db</v>
      </c>
      <c r="E117" s="27" t="str">
        <f t="shared" si="30"/>
        <v>Lr</v>
      </c>
      <c r="F117" s="25">
        <f t="shared" si="31"/>
        <v>500000</v>
      </c>
      <c r="G117" s="14">
        <f t="shared" si="32"/>
        <v>0</v>
      </c>
      <c r="H117" s="16">
        <f t="shared" ca="1" si="33"/>
        <v>0</v>
      </c>
      <c r="I117" s="16">
        <f t="shared" ca="1" si="34"/>
        <v>0</v>
      </c>
      <c r="J117" s="15">
        <f t="shared" ca="1" si="35"/>
        <v>500000</v>
      </c>
      <c r="K117" s="16">
        <f t="shared" si="36"/>
        <v>0</v>
      </c>
      <c r="L117" s="13">
        <f t="shared" ca="1" si="37"/>
        <v>0</v>
      </c>
      <c r="M117" s="13">
        <f t="shared" ca="1" si="38"/>
        <v>0</v>
      </c>
      <c r="N117" s="13">
        <f t="shared" ca="1" si="39"/>
        <v>500000</v>
      </c>
      <c r="O117" s="13">
        <f t="shared" si="40"/>
        <v>0</v>
      </c>
      <c r="P117" s="13">
        <f t="shared" ca="1" si="41"/>
        <v>500000</v>
      </c>
      <c r="Q117" s="13">
        <f t="shared" si="42"/>
        <v>0</v>
      </c>
      <c r="R117" s="13">
        <f t="shared" si="43"/>
        <v>0</v>
      </c>
      <c r="S117" s="17">
        <f t="shared" si="44"/>
        <v>0</v>
      </c>
      <c r="U117" s="66"/>
    </row>
    <row r="118" spans="1:21" x14ac:dyDescent="0.3">
      <c r="A118">
        <f t="shared" si="27"/>
        <v>1</v>
      </c>
      <c r="B118" s="123">
        <f>'Formula (2)'!C117</f>
        <v>50002</v>
      </c>
      <c r="C118" s="12" t="str">
        <f t="shared" si="28"/>
        <v>Beban Gaji Kantor</v>
      </c>
      <c r="D118" s="12" t="str">
        <f t="shared" si="29"/>
        <v>Db</v>
      </c>
      <c r="E118" s="27" t="str">
        <f t="shared" si="30"/>
        <v>Lr</v>
      </c>
      <c r="F118" s="25">
        <f t="shared" si="31"/>
        <v>0</v>
      </c>
      <c r="G118" s="14">
        <f t="shared" si="32"/>
        <v>0</v>
      </c>
      <c r="H118" s="16">
        <f t="shared" ca="1" si="33"/>
        <v>0</v>
      </c>
      <c r="I118" s="16">
        <f t="shared" ca="1" si="34"/>
        <v>0</v>
      </c>
      <c r="J118" s="15">
        <f t="shared" ca="1" si="35"/>
        <v>0</v>
      </c>
      <c r="K118" s="16">
        <f t="shared" si="36"/>
        <v>0</v>
      </c>
      <c r="L118" s="13">
        <f t="shared" ca="1" si="37"/>
        <v>0</v>
      </c>
      <c r="M118" s="13">
        <f t="shared" ca="1" si="38"/>
        <v>0</v>
      </c>
      <c r="N118" s="13">
        <f t="shared" ca="1" si="39"/>
        <v>0</v>
      </c>
      <c r="O118" s="13">
        <f t="shared" si="40"/>
        <v>0</v>
      </c>
      <c r="P118" s="13">
        <f t="shared" ca="1" si="41"/>
        <v>0</v>
      </c>
      <c r="Q118" s="13">
        <f t="shared" si="42"/>
        <v>0</v>
      </c>
      <c r="R118" s="13">
        <f t="shared" si="43"/>
        <v>0</v>
      </c>
      <c r="S118" s="17">
        <f t="shared" si="44"/>
        <v>0</v>
      </c>
      <c r="U118" s="66"/>
    </row>
    <row r="119" spans="1:21" x14ac:dyDescent="0.3">
      <c r="A119">
        <f t="shared" si="27"/>
        <v>1</v>
      </c>
      <c r="B119" s="123">
        <f>'Formula (2)'!C118</f>
        <v>50003</v>
      </c>
      <c r="C119" s="12" t="str">
        <f t="shared" si="28"/>
        <v>Beban Sewa Lahan</v>
      </c>
      <c r="D119" s="12" t="str">
        <f t="shared" si="29"/>
        <v>Db</v>
      </c>
      <c r="E119" s="27" t="str">
        <f t="shared" si="30"/>
        <v>Lr</v>
      </c>
      <c r="F119" s="25">
        <f t="shared" si="31"/>
        <v>0</v>
      </c>
      <c r="G119" s="14">
        <f t="shared" si="32"/>
        <v>0</v>
      </c>
      <c r="H119" s="16">
        <f t="shared" ca="1" si="33"/>
        <v>0</v>
      </c>
      <c r="I119" s="16">
        <f t="shared" ca="1" si="34"/>
        <v>0</v>
      </c>
      <c r="J119" s="15">
        <f t="shared" ca="1" si="35"/>
        <v>0</v>
      </c>
      <c r="K119" s="16">
        <f t="shared" si="36"/>
        <v>0</v>
      </c>
      <c r="L119" s="13">
        <f t="shared" ca="1" si="37"/>
        <v>0</v>
      </c>
      <c r="M119" s="13">
        <f t="shared" ca="1" si="38"/>
        <v>0</v>
      </c>
      <c r="N119" s="13">
        <f t="shared" ca="1" si="39"/>
        <v>0</v>
      </c>
      <c r="O119" s="13">
        <f t="shared" si="40"/>
        <v>0</v>
      </c>
      <c r="P119" s="13">
        <f t="shared" ca="1" si="41"/>
        <v>0</v>
      </c>
      <c r="Q119" s="13">
        <f t="shared" si="42"/>
        <v>0</v>
      </c>
      <c r="R119" s="13">
        <f t="shared" si="43"/>
        <v>0</v>
      </c>
      <c r="S119" s="17">
        <f t="shared" si="44"/>
        <v>0</v>
      </c>
      <c r="U119" s="66"/>
    </row>
    <row r="120" spans="1:21" x14ac:dyDescent="0.3">
      <c r="A120">
        <f t="shared" si="27"/>
        <v>1</v>
      </c>
      <c r="B120" s="123">
        <f>'Formula (2)'!C119</f>
        <v>50004</v>
      </c>
      <c r="C120" s="12" t="str">
        <f t="shared" si="28"/>
        <v>Beban Asuransi</v>
      </c>
      <c r="D120" s="12" t="str">
        <f t="shared" si="29"/>
        <v>Db</v>
      </c>
      <c r="E120" s="27" t="str">
        <f t="shared" si="30"/>
        <v>Lr</v>
      </c>
      <c r="F120" s="25">
        <f t="shared" si="31"/>
        <v>0</v>
      </c>
      <c r="G120" s="14">
        <f t="shared" si="32"/>
        <v>0</v>
      </c>
      <c r="H120" s="16">
        <f t="shared" ca="1" si="33"/>
        <v>0</v>
      </c>
      <c r="I120" s="16">
        <f t="shared" ca="1" si="34"/>
        <v>0</v>
      </c>
      <c r="J120" s="15">
        <f t="shared" ca="1" si="35"/>
        <v>0</v>
      </c>
      <c r="K120" s="16">
        <f t="shared" si="36"/>
        <v>0</v>
      </c>
      <c r="L120" s="13">
        <f t="shared" ca="1" si="37"/>
        <v>0</v>
      </c>
      <c r="M120" s="13">
        <f t="shared" ca="1" si="38"/>
        <v>0</v>
      </c>
      <c r="N120" s="13">
        <f t="shared" ca="1" si="39"/>
        <v>0</v>
      </c>
      <c r="O120" s="13">
        <f t="shared" si="40"/>
        <v>0</v>
      </c>
      <c r="P120" s="13">
        <f t="shared" ca="1" si="41"/>
        <v>0</v>
      </c>
      <c r="Q120" s="13">
        <f t="shared" si="42"/>
        <v>0</v>
      </c>
      <c r="R120" s="13">
        <f t="shared" si="43"/>
        <v>0</v>
      </c>
      <c r="S120" s="17">
        <f t="shared" si="44"/>
        <v>0</v>
      </c>
      <c r="U120" s="66"/>
    </row>
    <row r="121" spans="1:21" x14ac:dyDescent="0.3">
      <c r="A121">
        <f t="shared" si="27"/>
        <v>1</v>
      </c>
      <c r="B121" s="123">
        <f>'Formula (2)'!C120</f>
        <v>50005</v>
      </c>
      <c r="C121" s="12" t="str">
        <f t="shared" si="28"/>
        <v>Beban Penyesuaian Piutang</v>
      </c>
      <c r="D121" s="12" t="str">
        <f t="shared" si="29"/>
        <v>Db</v>
      </c>
      <c r="E121" s="27" t="str">
        <f t="shared" si="30"/>
        <v>Lr</v>
      </c>
      <c r="F121" s="25">
        <f t="shared" si="31"/>
        <v>0</v>
      </c>
      <c r="G121" s="14">
        <f t="shared" si="32"/>
        <v>0</v>
      </c>
      <c r="H121" s="16">
        <f t="shared" ca="1" si="33"/>
        <v>0</v>
      </c>
      <c r="I121" s="16">
        <f t="shared" ca="1" si="34"/>
        <v>0</v>
      </c>
      <c r="J121" s="15">
        <f t="shared" ca="1" si="35"/>
        <v>0</v>
      </c>
      <c r="K121" s="16">
        <f t="shared" si="36"/>
        <v>0</v>
      </c>
      <c r="L121" s="13">
        <f t="shared" ca="1" si="37"/>
        <v>0</v>
      </c>
      <c r="M121" s="13">
        <f t="shared" ca="1" si="38"/>
        <v>0</v>
      </c>
      <c r="N121" s="13">
        <f t="shared" ca="1" si="39"/>
        <v>0</v>
      </c>
      <c r="O121" s="13">
        <f t="shared" si="40"/>
        <v>0</v>
      </c>
      <c r="P121" s="13">
        <f t="shared" ca="1" si="41"/>
        <v>0</v>
      </c>
      <c r="Q121" s="13">
        <f t="shared" si="42"/>
        <v>0</v>
      </c>
      <c r="R121" s="13">
        <f t="shared" si="43"/>
        <v>0</v>
      </c>
      <c r="S121" s="17">
        <f t="shared" si="44"/>
        <v>0</v>
      </c>
      <c r="U121" s="66"/>
    </row>
    <row r="122" spans="1:21" x14ac:dyDescent="0.3">
      <c r="A122">
        <f t="shared" si="27"/>
        <v>1</v>
      </c>
      <c r="B122" s="123">
        <f>'Formula (2)'!C121</f>
        <v>50006</v>
      </c>
      <c r="C122" s="12" t="str">
        <f t="shared" si="28"/>
        <v>Beban Perlengkapan Kantor</v>
      </c>
      <c r="D122" s="12" t="str">
        <f t="shared" si="29"/>
        <v>Db</v>
      </c>
      <c r="E122" s="27" t="str">
        <f t="shared" si="30"/>
        <v>Lr</v>
      </c>
      <c r="F122" s="25">
        <f t="shared" si="31"/>
        <v>0</v>
      </c>
      <c r="G122" s="14">
        <f t="shared" si="32"/>
        <v>0</v>
      </c>
      <c r="H122" s="16">
        <f t="shared" ca="1" si="33"/>
        <v>0</v>
      </c>
      <c r="I122" s="16">
        <f t="shared" ca="1" si="34"/>
        <v>0</v>
      </c>
      <c r="J122" s="15">
        <f t="shared" ca="1" si="35"/>
        <v>0</v>
      </c>
      <c r="K122" s="16">
        <f t="shared" si="36"/>
        <v>0</v>
      </c>
      <c r="L122" s="13">
        <f t="shared" ca="1" si="37"/>
        <v>10000</v>
      </c>
      <c r="M122" s="13">
        <f t="shared" ca="1" si="38"/>
        <v>0</v>
      </c>
      <c r="N122" s="13">
        <f t="shared" ca="1" si="39"/>
        <v>10000</v>
      </c>
      <c r="O122" s="13">
        <f t="shared" si="40"/>
        <v>0</v>
      </c>
      <c r="P122" s="13">
        <f t="shared" ca="1" si="41"/>
        <v>10000</v>
      </c>
      <c r="Q122" s="13">
        <f t="shared" si="42"/>
        <v>0</v>
      </c>
      <c r="R122" s="13">
        <f t="shared" si="43"/>
        <v>0</v>
      </c>
      <c r="S122" s="17">
        <f t="shared" si="44"/>
        <v>0</v>
      </c>
      <c r="U122" s="66"/>
    </row>
    <row r="123" spans="1:21" x14ac:dyDescent="0.3">
      <c r="A123">
        <f t="shared" si="27"/>
        <v>1</v>
      </c>
      <c r="B123" s="123">
        <f>'Formula (2)'!C122</f>
        <v>50007</v>
      </c>
      <c r="C123" s="12" t="str">
        <f t="shared" si="28"/>
        <v>Beban Perlengkapan Toko</v>
      </c>
      <c r="D123" s="12" t="str">
        <f t="shared" si="29"/>
        <v>Db</v>
      </c>
      <c r="E123" s="27" t="str">
        <f t="shared" si="30"/>
        <v>Lr</v>
      </c>
      <c r="F123" s="25">
        <f t="shared" si="31"/>
        <v>0</v>
      </c>
      <c r="G123" s="14">
        <f t="shared" si="32"/>
        <v>0</v>
      </c>
      <c r="H123" s="16">
        <f t="shared" ca="1" si="33"/>
        <v>0</v>
      </c>
      <c r="I123" s="16">
        <f t="shared" ca="1" si="34"/>
        <v>0</v>
      </c>
      <c r="J123" s="15">
        <f t="shared" ca="1" si="35"/>
        <v>0</v>
      </c>
      <c r="K123" s="16">
        <f t="shared" si="36"/>
        <v>0</v>
      </c>
      <c r="L123" s="13">
        <f t="shared" ca="1" si="37"/>
        <v>0</v>
      </c>
      <c r="M123" s="13">
        <f t="shared" ca="1" si="38"/>
        <v>0</v>
      </c>
      <c r="N123" s="13">
        <f t="shared" ca="1" si="39"/>
        <v>0</v>
      </c>
      <c r="O123" s="13">
        <f t="shared" si="40"/>
        <v>0</v>
      </c>
      <c r="P123" s="13">
        <f t="shared" ca="1" si="41"/>
        <v>0</v>
      </c>
      <c r="Q123" s="13">
        <f t="shared" si="42"/>
        <v>0</v>
      </c>
      <c r="R123" s="13">
        <f t="shared" si="43"/>
        <v>0</v>
      </c>
      <c r="S123" s="17">
        <f t="shared" si="44"/>
        <v>0</v>
      </c>
      <c r="U123" s="66"/>
    </row>
    <row r="124" spans="1:21" x14ac:dyDescent="0.3">
      <c r="A124">
        <f t="shared" si="27"/>
        <v>1</v>
      </c>
      <c r="B124" s="123">
        <f>'Formula (2)'!C123</f>
        <v>50008</v>
      </c>
      <c r="C124" s="12" t="str">
        <f t="shared" si="28"/>
        <v>Beban Iklan</v>
      </c>
      <c r="D124" s="12" t="str">
        <f t="shared" si="29"/>
        <v>Db</v>
      </c>
      <c r="E124" s="27" t="str">
        <f t="shared" si="30"/>
        <v>Lr</v>
      </c>
      <c r="F124" s="25">
        <f t="shared" si="31"/>
        <v>0</v>
      </c>
      <c r="G124" s="14">
        <f t="shared" si="32"/>
        <v>0</v>
      </c>
      <c r="H124" s="16">
        <f t="shared" ca="1" si="33"/>
        <v>0</v>
      </c>
      <c r="I124" s="16">
        <f t="shared" ca="1" si="34"/>
        <v>0</v>
      </c>
      <c r="J124" s="15">
        <f t="shared" ca="1" si="35"/>
        <v>0</v>
      </c>
      <c r="K124" s="16">
        <f t="shared" si="36"/>
        <v>0</v>
      </c>
      <c r="L124" s="13">
        <f t="shared" ca="1" si="37"/>
        <v>0</v>
      </c>
      <c r="M124" s="13">
        <f t="shared" ca="1" si="38"/>
        <v>0</v>
      </c>
      <c r="N124" s="13">
        <f t="shared" ca="1" si="39"/>
        <v>0</v>
      </c>
      <c r="O124" s="13">
        <f t="shared" si="40"/>
        <v>0</v>
      </c>
      <c r="P124" s="13">
        <f t="shared" ca="1" si="41"/>
        <v>0</v>
      </c>
      <c r="Q124" s="13">
        <f t="shared" si="42"/>
        <v>0</v>
      </c>
      <c r="R124" s="13">
        <f t="shared" si="43"/>
        <v>0</v>
      </c>
      <c r="S124" s="17">
        <f t="shared" si="44"/>
        <v>0</v>
      </c>
      <c r="U124" s="66"/>
    </row>
    <row r="125" spans="1:21" x14ac:dyDescent="0.3">
      <c r="A125">
        <f t="shared" si="27"/>
        <v>1</v>
      </c>
      <c r="B125" s="123">
        <f>'Formula (2)'!C124</f>
        <v>50009</v>
      </c>
      <c r="C125" s="12" t="str">
        <f t="shared" si="28"/>
        <v>Beban Penyusutan Peralatan kantor</v>
      </c>
      <c r="D125" s="12" t="str">
        <f t="shared" si="29"/>
        <v>Db</v>
      </c>
      <c r="E125" s="27" t="str">
        <f t="shared" si="30"/>
        <v>Lr</v>
      </c>
      <c r="F125" s="25">
        <f t="shared" si="31"/>
        <v>0</v>
      </c>
      <c r="G125" s="14">
        <f t="shared" si="32"/>
        <v>0</v>
      </c>
      <c r="H125" s="16">
        <f t="shared" ca="1" si="33"/>
        <v>0</v>
      </c>
      <c r="I125" s="16">
        <f t="shared" ca="1" si="34"/>
        <v>0</v>
      </c>
      <c r="J125" s="15">
        <f t="shared" ca="1" si="35"/>
        <v>0</v>
      </c>
      <c r="K125" s="16">
        <f t="shared" si="36"/>
        <v>0</v>
      </c>
      <c r="L125" s="13">
        <f t="shared" ca="1" si="37"/>
        <v>0</v>
      </c>
      <c r="M125" s="13">
        <f t="shared" ca="1" si="38"/>
        <v>0</v>
      </c>
      <c r="N125" s="13">
        <f t="shared" ca="1" si="39"/>
        <v>0</v>
      </c>
      <c r="O125" s="13">
        <f t="shared" si="40"/>
        <v>0</v>
      </c>
      <c r="P125" s="13">
        <f t="shared" ca="1" si="41"/>
        <v>0</v>
      </c>
      <c r="Q125" s="13">
        <f t="shared" si="42"/>
        <v>0</v>
      </c>
      <c r="R125" s="13">
        <f t="shared" si="43"/>
        <v>0</v>
      </c>
      <c r="S125" s="17">
        <f t="shared" si="44"/>
        <v>0</v>
      </c>
      <c r="U125" s="66"/>
    </row>
    <row r="126" spans="1:21" x14ac:dyDescent="0.3">
      <c r="A126">
        <f t="shared" si="27"/>
        <v>1</v>
      </c>
      <c r="B126" s="123">
        <f>'Formula (2)'!C125</f>
        <v>50010</v>
      </c>
      <c r="C126" s="12" t="str">
        <f t="shared" si="28"/>
        <v>Beban Penyusutan Gedung</v>
      </c>
      <c r="D126" s="12" t="str">
        <f t="shared" si="29"/>
        <v>Db</v>
      </c>
      <c r="E126" s="27" t="str">
        <f t="shared" si="30"/>
        <v>Lr</v>
      </c>
      <c r="F126" s="25">
        <f t="shared" si="31"/>
        <v>0</v>
      </c>
      <c r="G126" s="14">
        <f t="shared" si="32"/>
        <v>0</v>
      </c>
      <c r="H126" s="16">
        <f t="shared" ca="1" si="33"/>
        <v>0</v>
      </c>
      <c r="I126" s="16">
        <f t="shared" ca="1" si="34"/>
        <v>0</v>
      </c>
      <c r="J126" s="15">
        <f t="shared" ca="1" si="35"/>
        <v>0</v>
      </c>
      <c r="K126" s="16">
        <f t="shared" si="36"/>
        <v>0</v>
      </c>
      <c r="L126" s="13">
        <f t="shared" ca="1" si="37"/>
        <v>0</v>
      </c>
      <c r="M126" s="13">
        <f t="shared" ca="1" si="38"/>
        <v>0</v>
      </c>
      <c r="N126" s="13">
        <f t="shared" ca="1" si="39"/>
        <v>0</v>
      </c>
      <c r="O126" s="13">
        <f t="shared" si="40"/>
        <v>0</v>
      </c>
      <c r="P126" s="13">
        <f t="shared" ca="1" si="41"/>
        <v>0</v>
      </c>
      <c r="Q126" s="13">
        <f t="shared" si="42"/>
        <v>0</v>
      </c>
      <c r="R126" s="13">
        <f t="shared" si="43"/>
        <v>0</v>
      </c>
      <c r="S126" s="17">
        <f t="shared" si="44"/>
        <v>0</v>
      </c>
      <c r="U126" s="66"/>
    </row>
    <row r="127" spans="1:21" x14ac:dyDescent="0.3">
      <c r="A127">
        <f t="shared" si="27"/>
        <v>1</v>
      </c>
      <c r="B127" s="123">
        <f>'Formula (2)'!C126</f>
        <v>50011</v>
      </c>
      <c r="C127" s="12" t="str">
        <f t="shared" si="28"/>
        <v>Beban Bunga</v>
      </c>
      <c r="D127" s="12" t="str">
        <f t="shared" si="29"/>
        <v>Db</v>
      </c>
      <c r="E127" s="27" t="str">
        <f t="shared" si="30"/>
        <v>Lr</v>
      </c>
      <c r="F127" s="25">
        <f t="shared" si="31"/>
        <v>0</v>
      </c>
      <c r="G127" s="14">
        <f t="shared" si="32"/>
        <v>0</v>
      </c>
      <c r="H127" s="16">
        <f t="shared" ca="1" si="33"/>
        <v>0</v>
      </c>
      <c r="I127" s="16">
        <f t="shared" ca="1" si="34"/>
        <v>0</v>
      </c>
      <c r="J127" s="15">
        <f t="shared" ca="1" si="35"/>
        <v>0</v>
      </c>
      <c r="K127" s="16">
        <f t="shared" si="36"/>
        <v>0</v>
      </c>
      <c r="L127" s="13">
        <f t="shared" ca="1" si="37"/>
        <v>0</v>
      </c>
      <c r="M127" s="13">
        <f t="shared" ca="1" si="38"/>
        <v>0</v>
      </c>
      <c r="N127" s="13">
        <f t="shared" ca="1" si="39"/>
        <v>0</v>
      </c>
      <c r="O127" s="13">
        <f t="shared" si="40"/>
        <v>0</v>
      </c>
      <c r="P127" s="13">
        <f t="shared" ca="1" si="41"/>
        <v>0</v>
      </c>
      <c r="Q127" s="13">
        <f t="shared" si="42"/>
        <v>0</v>
      </c>
      <c r="R127" s="13">
        <f t="shared" si="43"/>
        <v>0</v>
      </c>
      <c r="S127" s="17">
        <f t="shared" si="44"/>
        <v>0</v>
      </c>
      <c r="U127" s="66"/>
    </row>
    <row r="128" spans="1:21" x14ac:dyDescent="0.3">
      <c r="A128">
        <f t="shared" si="27"/>
        <v>1</v>
      </c>
      <c r="B128" s="123">
        <f>'Formula (2)'!C127</f>
        <v>50012</v>
      </c>
      <c r="C128" s="12" t="str">
        <f t="shared" si="28"/>
        <v>Beban Listrik Dan Telepon</v>
      </c>
      <c r="D128" s="12" t="str">
        <f t="shared" si="29"/>
        <v>Db</v>
      </c>
      <c r="E128" s="27" t="str">
        <f t="shared" si="30"/>
        <v>Lr</v>
      </c>
      <c r="F128" s="25">
        <f t="shared" si="31"/>
        <v>0</v>
      </c>
      <c r="G128" s="14">
        <f t="shared" si="32"/>
        <v>0</v>
      </c>
      <c r="H128" s="16">
        <f t="shared" ca="1" si="33"/>
        <v>0</v>
      </c>
      <c r="I128" s="16">
        <f t="shared" ca="1" si="34"/>
        <v>0</v>
      </c>
      <c r="J128" s="15">
        <f t="shared" ca="1" si="35"/>
        <v>0</v>
      </c>
      <c r="K128" s="16">
        <f t="shared" si="36"/>
        <v>0</v>
      </c>
      <c r="L128" s="13">
        <f t="shared" ca="1" si="37"/>
        <v>0</v>
      </c>
      <c r="M128" s="13">
        <f t="shared" ca="1" si="38"/>
        <v>0</v>
      </c>
      <c r="N128" s="13">
        <f t="shared" ca="1" si="39"/>
        <v>0</v>
      </c>
      <c r="O128" s="13">
        <f t="shared" si="40"/>
        <v>0</v>
      </c>
      <c r="P128" s="13">
        <f t="shared" ca="1" si="41"/>
        <v>0</v>
      </c>
      <c r="Q128" s="13">
        <f t="shared" si="42"/>
        <v>0</v>
      </c>
      <c r="R128" s="13">
        <f t="shared" si="43"/>
        <v>0</v>
      </c>
      <c r="S128" s="17">
        <f t="shared" si="44"/>
        <v>0</v>
      </c>
      <c r="U128" s="66"/>
    </row>
    <row r="129" spans="1:21" x14ac:dyDescent="0.3">
      <c r="A129">
        <f t="shared" si="27"/>
        <v>1</v>
      </c>
      <c r="B129" s="123">
        <f>'Formula (2)'!C128</f>
        <v>50013</v>
      </c>
      <c r="C129" s="12" t="str">
        <f t="shared" si="28"/>
        <v>Beban Peyusutan Mesin</v>
      </c>
      <c r="D129" s="12" t="str">
        <f t="shared" si="29"/>
        <v>Db</v>
      </c>
      <c r="E129" s="27" t="str">
        <f t="shared" si="30"/>
        <v>Lr</v>
      </c>
      <c r="F129" s="25">
        <f t="shared" si="31"/>
        <v>0</v>
      </c>
      <c r="G129" s="14">
        <f t="shared" si="32"/>
        <v>0</v>
      </c>
      <c r="H129" s="16">
        <f t="shared" ca="1" si="33"/>
        <v>0</v>
      </c>
      <c r="I129" s="16">
        <f t="shared" ca="1" si="34"/>
        <v>0</v>
      </c>
      <c r="J129" s="15">
        <f t="shared" ca="1" si="35"/>
        <v>0</v>
      </c>
      <c r="K129" s="16">
        <f t="shared" si="36"/>
        <v>0</v>
      </c>
      <c r="L129" s="13">
        <f t="shared" ca="1" si="37"/>
        <v>0</v>
      </c>
      <c r="M129" s="13">
        <f t="shared" ca="1" si="38"/>
        <v>0</v>
      </c>
      <c r="N129" s="13">
        <f t="shared" ca="1" si="39"/>
        <v>0</v>
      </c>
      <c r="O129" s="13">
        <f t="shared" si="40"/>
        <v>0</v>
      </c>
      <c r="P129" s="13">
        <f t="shared" ca="1" si="41"/>
        <v>0</v>
      </c>
      <c r="Q129" s="13">
        <f t="shared" si="42"/>
        <v>0</v>
      </c>
      <c r="R129" s="13">
        <f t="shared" si="43"/>
        <v>0</v>
      </c>
      <c r="S129" s="17">
        <f t="shared" si="44"/>
        <v>0</v>
      </c>
      <c r="U129" s="66"/>
    </row>
    <row r="130" spans="1:21" x14ac:dyDescent="0.3">
      <c r="A130">
        <f t="shared" si="27"/>
        <v>1</v>
      </c>
      <c r="B130" s="123">
        <f>'Formula (2)'!C129</f>
        <v>50014</v>
      </c>
      <c r="C130" s="12" t="str">
        <f t="shared" si="28"/>
        <v>Beban Lain-</v>
      </c>
      <c r="D130" s="12" t="str">
        <f t="shared" si="29"/>
        <v>Db</v>
      </c>
      <c r="E130" s="27" t="str">
        <f t="shared" si="30"/>
        <v>Lr</v>
      </c>
      <c r="F130" s="25">
        <f t="shared" si="31"/>
        <v>0</v>
      </c>
      <c r="G130" s="14">
        <f t="shared" si="32"/>
        <v>0</v>
      </c>
      <c r="H130" s="16">
        <f t="shared" ca="1" si="33"/>
        <v>0</v>
      </c>
      <c r="I130" s="16">
        <f t="shared" ca="1" si="34"/>
        <v>0</v>
      </c>
      <c r="J130" s="15">
        <f t="shared" ca="1" si="35"/>
        <v>0</v>
      </c>
      <c r="K130" s="16">
        <f t="shared" si="36"/>
        <v>0</v>
      </c>
      <c r="L130" s="13">
        <f t="shared" ca="1" si="37"/>
        <v>0</v>
      </c>
      <c r="M130" s="13">
        <f t="shared" ca="1" si="38"/>
        <v>0</v>
      </c>
      <c r="N130" s="13">
        <f t="shared" ca="1" si="39"/>
        <v>0</v>
      </c>
      <c r="O130" s="13">
        <f t="shared" si="40"/>
        <v>0</v>
      </c>
      <c r="P130" s="13">
        <f t="shared" ca="1" si="41"/>
        <v>0</v>
      </c>
      <c r="Q130" s="13">
        <f t="shared" si="42"/>
        <v>0</v>
      </c>
      <c r="R130" s="13">
        <f t="shared" si="43"/>
        <v>0</v>
      </c>
      <c r="S130" s="17">
        <f t="shared" si="44"/>
        <v>0</v>
      </c>
      <c r="U130" s="66"/>
    </row>
    <row r="131" spans="1:21" x14ac:dyDescent="0.3">
      <c r="A131">
        <f t="shared" si="27"/>
        <v>1</v>
      </c>
      <c r="B131" s="123">
        <f>'Formula (2)'!C130</f>
        <v>50015</v>
      </c>
      <c r="C131" s="12" t="str">
        <f t="shared" si="28"/>
        <v xml:space="preserve">Beban Penyusutan Kendaraan </v>
      </c>
      <c r="D131" s="12" t="str">
        <f t="shared" si="29"/>
        <v>Db</v>
      </c>
      <c r="E131" s="27" t="str">
        <f t="shared" si="30"/>
        <v>Lr</v>
      </c>
      <c r="F131" s="25">
        <f t="shared" si="31"/>
        <v>0</v>
      </c>
      <c r="G131" s="14">
        <f t="shared" si="32"/>
        <v>0</v>
      </c>
      <c r="H131" s="16">
        <f t="shared" ca="1" si="33"/>
        <v>0</v>
      </c>
      <c r="I131" s="16">
        <f t="shared" ca="1" si="34"/>
        <v>0</v>
      </c>
      <c r="J131" s="15">
        <f t="shared" ca="1" si="35"/>
        <v>0</v>
      </c>
      <c r="K131" s="16">
        <f t="shared" si="36"/>
        <v>0</v>
      </c>
      <c r="L131" s="13">
        <f t="shared" ca="1" si="37"/>
        <v>0</v>
      </c>
      <c r="M131" s="13">
        <f t="shared" ca="1" si="38"/>
        <v>0</v>
      </c>
      <c r="N131" s="13">
        <f t="shared" ca="1" si="39"/>
        <v>0</v>
      </c>
      <c r="O131" s="13">
        <f t="shared" si="40"/>
        <v>0</v>
      </c>
      <c r="P131" s="13">
        <f t="shared" ca="1" si="41"/>
        <v>0</v>
      </c>
      <c r="Q131" s="13">
        <f t="shared" si="42"/>
        <v>0</v>
      </c>
      <c r="R131" s="13">
        <f t="shared" si="43"/>
        <v>0</v>
      </c>
      <c r="S131" s="17">
        <f t="shared" si="44"/>
        <v>0</v>
      </c>
      <c r="U131" s="66"/>
    </row>
    <row r="132" spans="1:21" x14ac:dyDescent="0.3">
      <c r="A132">
        <f t="shared" si="27"/>
        <v>1</v>
      </c>
      <c r="B132" s="123">
        <f>'Formula (2)'!C131</f>
        <v>50016</v>
      </c>
      <c r="C132" s="12" t="str">
        <f t="shared" si="28"/>
        <v>Potongan Pembelian</v>
      </c>
      <c r="D132" s="12" t="str">
        <f t="shared" si="29"/>
        <v>Db</v>
      </c>
      <c r="E132" s="27" t="str">
        <f t="shared" si="30"/>
        <v>Lr</v>
      </c>
      <c r="F132" s="25">
        <f t="shared" si="31"/>
        <v>0</v>
      </c>
      <c r="G132" s="14">
        <f t="shared" si="32"/>
        <v>0</v>
      </c>
      <c r="H132" s="16">
        <f t="shared" ca="1" si="33"/>
        <v>0</v>
      </c>
      <c r="I132" s="16">
        <f t="shared" ca="1" si="34"/>
        <v>0</v>
      </c>
      <c r="J132" s="15">
        <f t="shared" ca="1" si="35"/>
        <v>0</v>
      </c>
      <c r="K132" s="16">
        <f t="shared" si="36"/>
        <v>0</v>
      </c>
      <c r="L132" s="13">
        <f t="shared" ca="1" si="37"/>
        <v>0</v>
      </c>
      <c r="M132" s="13">
        <f t="shared" ca="1" si="38"/>
        <v>0</v>
      </c>
      <c r="N132" s="13">
        <f t="shared" ca="1" si="39"/>
        <v>0</v>
      </c>
      <c r="O132" s="13">
        <f t="shared" si="40"/>
        <v>0</v>
      </c>
      <c r="P132" s="13">
        <f t="shared" ca="1" si="41"/>
        <v>0</v>
      </c>
      <c r="Q132" s="13">
        <f t="shared" si="42"/>
        <v>0</v>
      </c>
      <c r="R132" s="13">
        <f t="shared" si="43"/>
        <v>0</v>
      </c>
      <c r="S132" s="17">
        <f t="shared" si="44"/>
        <v>0</v>
      </c>
      <c r="U132" s="66"/>
    </row>
    <row r="133" spans="1:21" x14ac:dyDescent="0.3">
      <c r="A133">
        <f t="shared" si="27"/>
        <v>1</v>
      </c>
      <c r="B133" s="123">
        <f>'Formula (2)'!C132</f>
        <v>50017</v>
      </c>
      <c r="C133" s="12" t="str">
        <f t="shared" si="28"/>
        <v>Beban Penjualan</v>
      </c>
      <c r="D133" s="12" t="str">
        <f t="shared" si="29"/>
        <v>Db</v>
      </c>
      <c r="E133" s="27" t="str">
        <f t="shared" si="30"/>
        <v>Lr</v>
      </c>
      <c r="F133" s="25">
        <f t="shared" si="31"/>
        <v>0</v>
      </c>
      <c r="G133" s="14">
        <f t="shared" si="32"/>
        <v>0</v>
      </c>
      <c r="H133" s="16">
        <f t="shared" ca="1" si="33"/>
        <v>0</v>
      </c>
      <c r="I133" s="16">
        <f t="shared" ca="1" si="34"/>
        <v>0</v>
      </c>
      <c r="J133" s="15">
        <f t="shared" ca="1" si="35"/>
        <v>0</v>
      </c>
      <c r="K133" s="16">
        <f t="shared" si="36"/>
        <v>0</v>
      </c>
      <c r="L133" s="13">
        <f t="shared" ca="1" si="37"/>
        <v>0</v>
      </c>
      <c r="M133" s="13">
        <f t="shared" ca="1" si="38"/>
        <v>0</v>
      </c>
      <c r="N133" s="13">
        <f t="shared" ca="1" si="39"/>
        <v>0</v>
      </c>
      <c r="O133" s="13">
        <f t="shared" si="40"/>
        <v>0</v>
      </c>
      <c r="P133" s="13">
        <f t="shared" ca="1" si="41"/>
        <v>0</v>
      </c>
      <c r="Q133" s="13">
        <f t="shared" si="42"/>
        <v>0</v>
      </c>
      <c r="R133" s="13">
        <f t="shared" si="43"/>
        <v>0</v>
      </c>
      <c r="S133" s="17">
        <f t="shared" si="44"/>
        <v>0</v>
      </c>
      <c r="U133" s="66"/>
    </row>
    <row r="134" spans="1:21" x14ac:dyDescent="0.3">
      <c r="A134">
        <f t="shared" si="27"/>
        <v>1</v>
      </c>
      <c r="B134" s="123">
        <f>'Formula (2)'!C133</f>
        <v>50018</v>
      </c>
      <c r="C134" s="12" t="str">
        <f t="shared" si="28"/>
        <v xml:space="preserve">Pajak Penghasilan </v>
      </c>
      <c r="D134" s="12" t="str">
        <f t="shared" si="29"/>
        <v>Db</v>
      </c>
      <c r="E134" s="27" t="str">
        <f t="shared" si="30"/>
        <v>Lr</v>
      </c>
      <c r="F134" s="25">
        <f t="shared" si="31"/>
        <v>0</v>
      </c>
      <c r="G134" s="14">
        <f t="shared" si="32"/>
        <v>0</v>
      </c>
      <c r="H134" s="16">
        <f t="shared" ca="1" si="33"/>
        <v>0</v>
      </c>
      <c r="I134" s="16">
        <f t="shared" ca="1" si="34"/>
        <v>0</v>
      </c>
      <c r="J134" s="15">
        <f t="shared" ca="1" si="35"/>
        <v>0</v>
      </c>
      <c r="K134" s="16">
        <f t="shared" si="36"/>
        <v>0</v>
      </c>
      <c r="L134" s="13">
        <f t="shared" ca="1" si="37"/>
        <v>0</v>
      </c>
      <c r="M134" s="13">
        <f t="shared" ca="1" si="38"/>
        <v>0</v>
      </c>
      <c r="N134" s="13">
        <f t="shared" ca="1" si="39"/>
        <v>0</v>
      </c>
      <c r="O134" s="13">
        <f t="shared" si="40"/>
        <v>0</v>
      </c>
      <c r="P134" s="13">
        <f t="shared" ca="1" si="41"/>
        <v>0</v>
      </c>
      <c r="Q134" s="13">
        <f t="shared" si="42"/>
        <v>0</v>
      </c>
      <c r="R134" s="13">
        <f t="shared" si="43"/>
        <v>0</v>
      </c>
      <c r="S134" s="17">
        <f t="shared" si="44"/>
        <v>0</v>
      </c>
      <c r="U134" s="66"/>
    </row>
    <row r="135" spans="1:21" x14ac:dyDescent="0.3">
      <c r="A135">
        <f t="shared" si="27"/>
        <v>1</v>
      </c>
      <c r="B135" s="123">
        <f>'Formula (2)'!C134</f>
        <v>50019</v>
      </c>
      <c r="C135" s="12" t="str">
        <f t="shared" ref="C135:C142" si="45">IF(B135="","",VLOOKUP(B135,daftarakun,2,0))</f>
        <v>Beban Penyusutan Peralatan toko</v>
      </c>
      <c r="D135" s="12" t="str">
        <f t="shared" ref="D135:D142" si="46">IF(B135="","",VLOOKUP(B135,daftarakun,4,0))</f>
        <v>Db</v>
      </c>
      <c r="E135" s="27" t="str">
        <f t="shared" ref="E135:E142" si="47">IF(B135="","",VLOOKUP(B135,daftarakun,3,0))</f>
        <v>Lr</v>
      </c>
      <c r="F135" s="25">
        <f t="shared" ref="F135:F142" si="48">IF(B135="","",VLOOKUP(B135,daftarakun,5,0))</f>
        <v>0</v>
      </c>
      <c r="G135" s="14">
        <f t="shared" ref="G135:G142" si="49">IF(B135="","",VLOOKUP(B135,daftarakun,6,0))</f>
        <v>0</v>
      </c>
      <c r="H135" s="16">
        <f t="shared" ref="H135:H142" ca="1" si="50">SUMIF(KBNS,B135,JB)</f>
        <v>0</v>
      </c>
      <c r="I135" s="16">
        <f t="shared" ref="I135:I142" ca="1" si="51">SUMIF(KBNS,B135,JK)</f>
        <v>0</v>
      </c>
      <c r="J135" s="15">
        <f t="shared" ref="J135:J142" ca="1" si="52">IF(D135="Db",F135+H135-G135-I135,0)</f>
        <v>0</v>
      </c>
      <c r="K135" s="16">
        <f t="shared" ref="K135:K142" si="53">IF(D135="Kr",G135+I135-F135-H135,0)</f>
        <v>0</v>
      </c>
      <c r="L135" s="13">
        <f t="shared" ref="L135:L142" ca="1" si="54">SUMIF(KBPNY,B135,JB)</f>
        <v>0</v>
      </c>
      <c r="M135" s="13">
        <f t="shared" ref="M135:M142" ca="1" si="55">SUMIF(KBPNY,B135,JK)</f>
        <v>0</v>
      </c>
      <c r="N135" s="13">
        <f t="shared" ref="N135:N142" ca="1" si="56">IF(D135="Db",J135+L135-K135-M135,0)</f>
        <v>0</v>
      </c>
      <c r="O135" s="13">
        <f t="shared" ref="O135:O142" si="57">IF(D135="Kr",K135+M135-J135-L135,0)</f>
        <v>0</v>
      </c>
      <c r="P135" s="13">
        <f t="shared" ref="P135:P142" ca="1" si="58">IF(E135="Lr",N135,0)</f>
        <v>0</v>
      </c>
      <c r="Q135" s="13">
        <f t="shared" ref="Q135:Q142" si="59">IF(E135="Lr",O135,0)</f>
        <v>0</v>
      </c>
      <c r="R135" s="13">
        <f t="shared" ref="R135:R142" si="60">IF(E135="Nrc",N135,0)</f>
        <v>0</v>
      </c>
      <c r="S135" s="17">
        <f t="shared" ref="S135:S142" si="61">IF(E135="Nrc",O135,0)</f>
        <v>0</v>
      </c>
      <c r="U135" s="66"/>
    </row>
    <row r="136" spans="1:21" x14ac:dyDescent="0.3">
      <c r="A136">
        <f t="shared" si="27"/>
        <v>1</v>
      </c>
      <c r="B136" s="123">
        <f>'Formula (2)'!C135</f>
        <v>50020</v>
      </c>
      <c r="C136" s="12" t="str">
        <f t="shared" si="45"/>
        <v>Beban service</v>
      </c>
      <c r="D136" s="12" t="str">
        <f t="shared" si="46"/>
        <v>Db</v>
      </c>
      <c r="E136" s="27" t="str">
        <f t="shared" si="47"/>
        <v>Lr</v>
      </c>
      <c r="F136" s="25">
        <f t="shared" si="48"/>
        <v>0</v>
      </c>
      <c r="G136" s="14">
        <f t="shared" si="49"/>
        <v>0</v>
      </c>
      <c r="H136" s="16">
        <f t="shared" ca="1" si="50"/>
        <v>0</v>
      </c>
      <c r="I136" s="16">
        <f t="shared" ca="1" si="51"/>
        <v>0</v>
      </c>
      <c r="J136" s="15">
        <f t="shared" ca="1" si="52"/>
        <v>0</v>
      </c>
      <c r="K136" s="16">
        <f t="shared" si="53"/>
        <v>0</v>
      </c>
      <c r="L136" s="13">
        <f t="shared" ca="1" si="54"/>
        <v>0</v>
      </c>
      <c r="M136" s="13">
        <f t="shared" ca="1" si="55"/>
        <v>0</v>
      </c>
      <c r="N136" s="13">
        <f t="shared" ca="1" si="56"/>
        <v>0</v>
      </c>
      <c r="O136" s="13">
        <f t="shared" si="57"/>
        <v>0</v>
      </c>
      <c r="P136" s="13">
        <f t="shared" ca="1" si="58"/>
        <v>0</v>
      </c>
      <c r="Q136" s="13">
        <f t="shared" si="59"/>
        <v>0</v>
      </c>
      <c r="R136" s="13">
        <f t="shared" si="60"/>
        <v>0</v>
      </c>
      <c r="S136" s="17">
        <f t="shared" si="61"/>
        <v>0</v>
      </c>
      <c r="U136" s="66"/>
    </row>
    <row r="137" spans="1:21" x14ac:dyDescent="0.3">
      <c r="A137">
        <f t="shared" ref="A137:A146" si="62">IF(C137=0,0,1)</f>
        <v>1</v>
      </c>
      <c r="B137" s="123">
        <f>'Formula (2)'!C136</f>
        <v>50021</v>
      </c>
      <c r="C137" s="12" t="str">
        <f t="shared" si="45"/>
        <v xml:space="preserve">Beban Akibat Bencana Alam </v>
      </c>
      <c r="D137" s="12" t="str">
        <f t="shared" si="46"/>
        <v>Db</v>
      </c>
      <c r="E137" s="27" t="str">
        <f t="shared" si="47"/>
        <v>Lr</v>
      </c>
      <c r="F137" s="25">
        <f t="shared" si="48"/>
        <v>0</v>
      </c>
      <c r="G137" s="14">
        <f t="shared" si="49"/>
        <v>0</v>
      </c>
      <c r="H137" s="16">
        <f t="shared" ca="1" si="50"/>
        <v>0</v>
      </c>
      <c r="I137" s="16">
        <f t="shared" ca="1" si="51"/>
        <v>0</v>
      </c>
      <c r="J137" s="15">
        <f t="shared" ca="1" si="52"/>
        <v>0</v>
      </c>
      <c r="K137" s="16">
        <f t="shared" si="53"/>
        <v>0</v>
      </c>
      <c r="L137" s="13">
        <f t="shared" ca="1" si="54"/>
        <v>0</v>
      </c>
      <c r="M137" s="13">
        <f t="shared" ca="1" si="55"/>
        <v>0</v>
      </c>
      <c r="N137" s="13">
        <f t="shared" ca="1" si="56"/>
        <v>0</v>
      </c>
      <c r="O137" s="13">
        <f t="shared" si="57"/>
        <v>0</v>
      </c>
      <c r="P137" s="13">
        <f t="shared" ca="1" si="58"/>
        <v>0</v>
      </c>
      <c r="Q137" s="13">
        <f t="shared" si="59"/>
        <v>0</v>
      </c>
      <c r="R137" s="13">
        <f t="shared" si="60"/>
        <v>0</v>
      </c>
      <c r="S137" s="17">
        <f t="shared" si="61"/>
        <v>0</v>
      </c>
      <c r="U137" s="66"/>
    </row>
    <row r="138" spans="1:21" x14ac:dyDescent="0.3">
      <c r="A138">
        <f t="shared" si="62"/>
        <v>1</v>
      </c>
      <c r="B138" s="123">
        <f>'Formula (2)'!C137</f>
        <v>50022</v>
      </c>
      <c r="C138" s="12" t="str">
        <f t="shared" si="45"/>
        <v>Beban Administrasi</v>
      </c>
      <c r="D138" s="12" t="str">
        <f t="shared" si="46"/>
        <v>Db</v>
      </c>
      <c r="E138" s="27" t="str">
        <f t="shared" si="47"/>
        <v>Lr</v>
      </c>
      <c r="F138" s="25">
        <f t="shared" si="48"/>
        <v>0</v>
      </c>
      <c r="G138" s="14">
        <f t="shared" si="49"/>
        <v>0</v>
      </c>
      <c r="H138" s="16">
        <f t="shared" ca="1" si="50"/>
        <v>0</v>
      </c>
      <c r="I138" s="16">
        <f t="shared" ca="1" si="51"/>
        <v>0</v>
      </c>
      <c r="J138" s="15">
        <f t="shared" ca="1" si="52"/>
        <v>0</v>
      </c>
      <c r="K138" s="16">
        <f t="shared" si="53"/>
        <v>0</v>
      </c>
      <c r="L138" s="13">
        <f t="shared" ca="1" si="54"/>
        <v>0</v>
      </c>
      <c r="M138" s="13">
        <f t="shared" ca="1" si="55"/>
        <v>0</v>
      </c>
      <c r="N138" s="13">
        <f t="shared" ca="1" si="56"/>
        <v>0</v>
      </c>
      <c r="O138" s="13">
        <f t="shared" si="57"/>
        <v>0</v>
      </c>
      <c r="P138" s="13">
        <f t="shared" ca="1" si="58"/>
        <v>0</v>
      </c>
      <c r="Q138" s="13">
        <f t="shared" si="59"/>
        <v>0</v>
      </c>
      <c r="R138" s="13">
        <f t="shared" si="60"/>
        <v>0</v>
      </c>
      <c r="S138" s="17">
        <f t="shared" si="61"/>
        <v>0</v>
      </c>
      <c r="U138" s="66"/>
    </row>
    <row r="139" spans="1:21" x14ac:dyDescent="0.3">
      <c r="A139">
        <f t="shared" si="62"/>
        <v>0</v>
      </c>
      <c r="B139" s="123">
        <f>'Formula (2)'!C138</f>
        <v>50023</v>
      </c>
      <c r="C139" s="12">
        <f t="shared" si="45"/>
        <v>0</v>
      </c>
      <c r="D139" s="12" t="str">
        <f t="shared" si="46"/>
        <v>Db</v>
      </c>
      <c r="E139" s="27" t="str">
        <f t="shared" si="47"/>
        <v>Nrc</v>
      </c>
      <c r="F139" s="25">
        <f t="shared" si="48"/>
        <v>0</v>
      </c>
      <c r="G139" s="14">
        <f t="shared" si="49"/>
        <v>0</v>
      </c>
      <c r="H139" s="16">
        <f t="shared" ca="1" si="50"/>
        <v>0</v>
      </c>
      <c r="I139" s="16">
        <f t="shared" ca="1" si="51"/>
        <v>0</v>
      </c>
      <c r="J139" s="15">
        <f t="shared" ca="1" si="52"/>
        <v>0</v>
      </c>
      <c r="K139" s="16">
        <f t="shared" si="53"/>
        <v>0</v>
      </c>
      <c r="L139" s="13">
        <f t="shared" ca="1" si="54"/>
        <v>0</v>
      </c>
      <c r="M139" s="13">
        <f t="shared" ca="1" si="55"/>
        <v>0</v>
      </c>
      <c r="N139" s="13">
        <f t="shared" ca="1" si="56"/>
        <v>0</v>
      </c>
      <c r="O139" s="13">
        <f t="shared" si="57"/>
        <v>0</v>
      </c>
      <c r="P139" s="13">
        <f t="shared" si="58"/>
        <v>0</v>
      </c>
      <c r="Q139" s="13">
        <f t="shared" si="59"/>
        <v>0</v>
      </c>
      <c r="R139" s="13">
        <f t="shared" ca="1" si="60"/>
        <v>0</v>
      </c>
      <c r="S139" s="17">
        <f t="shared" si="61"/>
        <v>0</v>
      </c>
      <c r="U139" s="66"/>
    </row>
    <row r="140" spans="1:21" x14ac:dyDescent="0.3">
      <c r="A140">
        <f t="shared" si="62"/>
        <v>0</v>
      </c>
      <c r="B140" s="123">
        <f>'Formula (2)'!C139</f>
        <v>50024</v>
      </c>
      <c r="C140" s="12">
        <f t="shared" si="45"/>
        <v>0</v>
      </c>
      <c r="D140" s="12" t="str">
        <f t="shared" si="46"/>
        <v>Db</v>
      </c>
      <c r="E140" s="27" t="str">
        <f t="shared" si="47"/>
        <v>Nrc</v>
      </c>
      <c r="F140" s="25">
        <f t="shared" si="48"/>
        <v>0</v>
      </c>
      <c r="G140" s="14">
        <f t="shared" si="49"/>
        <v>0</v>
      </c>
      <c r="H140" s="16">
        <f t="shared" ca="1" si="50"/>
        <v>0</v>
      </c>
      <c r="I140" s="16">
        <f t="shared" ca="1" si="51"/>
        <v>0</v>
      </c>
      <c r="J140" s="15">
        <f t="shared" ca="1" si="52"/>
        <v>0</v>
      </c>
      <c r="K140" s="16">
        <f t="shared" si="53"/>
        <v>0</v>
      </c>
      <c r="L140" s="13">
        <f t="shared" ca="1" si="54"/>
        <v>0</v>
      </c>
      <c r="M140" s="13">
        <f t="shared" ca="1" si="55"/>
        <v>0</v>
      </c>
      <c r="N140" s="13">
        <f t="shared" ca="1" si="56"/>
        <v>0</v>
      </c>
      <c r="O140" s="13">
        <f t="shared" si="57"/>
        <v>0</v>
      </c>
      <c r="P140" s="13">
        <f t="shared" si="58"/>
        <v>0</v>
      </c>
      <c r="Q140" s="13">
        <f t="shared" si="59"/>
        <v>0</v>
      </c>
      <c r="R140" s="13">
        <f t="shared" ca="1" si="60"/>
        <v>0</v>
      </c>
      <c r="S140" s="17">
        <f t="shared" si="61"/>
        <v>0</v>
      </c>
      <c r="U140" s="66"/>
    </row>
    <row r="141" spans="1:21" x14ac:dyDescent="0.3">
      <c r="A141">
        <f t="shared" si="62"/>
        <v>0</v>
      </c>
      <c r="B141" s="123">
        <f>'Formula (2)'!C140</f>
        <v>50025</v>
      </c>
      <c r="C141" s="12">
        <f t="shared" si="45"/>
        <v>0</v>
      </c>
      <c r="D141" s="12" t="str">
        <f t="shared" si="46"/>
        <v>Db</v>
      </c>
      <c r="E141" s="27" t="str">
        <f t="shared" si="47"/>
        <v>Nrc</v>
      </c>
      <c r="F141" s="25">
        <f t="shared" si="48"/>
        <v>0</v>
      </c>
      <c r="G141" s="14">
        <f t="shared" si="49"/>
        <v>0</v>
      </c>
      <c r="H141" s="16">
        <f t="shared" ca="1" si="50"/>
        <v>0</v>
      </c>
      <c r="I141" s="16">
        <f t="shared" ca="1" si="51"/>
        <v>0</v>
      </c>
      <c r="J141" s="15">
        <f t="shared" ca="1" si="52"/>
        <v>0</v>
      </c>
      <c r="K141" s="16">
        <f t="shared" si="53"/>
        <v>0</v>
      </c>
      <c r="L141" s="13">
        <f t="shared" ca="1" si="54"/>
        <v>0</v>
      </c>
      <c r="M141" s="13">
        <f t="shared" ca="1" si="55"/>
        <v>0</v>
      </c>
      <c r="N141" s="13">
        <f t="shared" ca="1" si="56"/>
        <v>0</v>
      </c>
      <c r="O141" s="13">
        <f t="shared" si="57"/>
        <v>0</v>
      </c>
      <c r="P141" s="13">
        <f t="shared" si="58"/>
        <v>0</v>
      </c>
      <c r="Q141" s="13">
        <f t="shared" si="59"/>
        <v>0</v>
      </c>
      <c r="R141" s="13">
        <f t="shared" ca="1" si="60"/>
        <v>0</v>
      </c>
      <c r="S141" s="17">
        <f t="shared" si="61"/>
        <v>0</v>
      </c>
      <c r="U141" s="66"/>
    </row>
    <row r="142" spans="1:21" x14ac:dyDescent="0.3">
      <c r="A142">
        <f t="shared" si="62"/>
        <v>0</v>
      </c>
      <c r="B142" s="123">
        <f>'Formula (2)'!C141</f>
        <v>50026</v>
      </c>
      <c r="C142" s="12">
        <f t="shared" si="45"/>
        <v>0</v>
      </c>
      <c r="D142" s="12" t="str">
        <f t="shared" si="46"/>
        <v>Db</v>
      </c>
      <c r="E142" s="27" t="str">
        <f t="shared" si="47"/>
        <v>Nrc</v>
      </c>
      <c r="F142" s="25">
        <f t="shared" si="48"/>
        <v>0</v>
      </c>
      <c r="G142" s="14">
        <f t="shared" si="49"/>
        <v>0</v>
      </c>
      <c r="H142" s="16">
        <f t="shared" ca="1" si="50"/>
        <v>0</v>
      </c>
      <c r="I142" s="16">
        <f t="shared" ca="1" si="51"/>
        <v>0</v>
      </c>
      <c r="J142" s="15">
        <f t="shared" ca="1" si="52"/>
        <v>0</v>
      </c>
      <c r="K142" s="16">
        <f t="shared" si="53"/>
        <v>0</v>
      </c>
      <c r="L142" s="13">
        <f t="shared" ca="1" si="54"/>
        <v>0</v>
      </c>
      <c r="M142" s="13">
        <f t="shared" ca="1" si="55"/>
        <v>0</v>
      </c>
      <c r="N142" s="13">
        <f t="shared" ca="1" si="56"/>
        <v>0</v>
      </c>
      <c r="O142" s="13">
        <f t="shared" si="57"/>
        <v>0</v>
      </c>
      <c r="P142" s="13">
        <f t="shared" si="58"/>
        <v>0</v>
      </c>
      <c r="Q142" s="13">
        <f t="shared" si="59"/>
        <v>0</v>
      </c>
      <c r="R142" s="13">
        <f t="shared" ca="1" si="60"/>
        <v>0</v>
      </c>
      <c r="S142" s="17">
        <f t="shared" si="61"/>
        <v>0</v>
      </c>
      <c r="U142" s="66"/>
    </row>
    <row r="143" spans="1:21" x14ac:dyDescent="0.3">
      <c r="A143">
        <f t="shared" si="62"/>
        <v>0</v>
      </c>
      <c r="B143" s="123">
        <f>'Formula (2)'!C142</f>
        <v>50027</v>
      </c>
      <c r="C143" s="12">
        <f t="shared" ref="C143:C146" si="63">IF(B143="","",VLOOKUP(B143,daftarakun,2,0))</f>
        <v>0</v>
      </c>
      <c r="D143" s="12" t="str">
        <f t="shared" ref="D143:D146" si="64">IF(B143="","",VLOOKUP(B143,daftarakun,4,0))</f>
        <v>Db</v>
      </c>
      <c r="E143" s="27" t="str">
        <f t="shared" ref="E143:E146" si="65">IF(B143="","",VLOOKUP(B143,daftarakun,3,0))</f>
        <v>Nrc</v>
      </c>
      <c r="F143" s="25">
        <f t="shared" ref="F143:F146" si="66">IF(B143="","",VLOOKUP(B143,daftarakun,5,0))</f>
        <v>0</v>
      </c>
      <c r="G143" s="14">
        <f t="shared" ref="G143:G146" si="67">IF(B143="","",VLOOKUP(B143,daftarakun,6,0))</f>
        <v>0</v>
      </c>
      <c r="H143" s="16">
        <f t="shared" ref="H143:H146" ca="1" si="68">SUMIF(KBNS,B143,JB)</f>
        <v>0</v>
      </c>
      <c r="I143" s="16">
        <f t="shared" ref="I143:I146" ca="1" si="69">SUMIF(KBNS,B143,JK)</f>
        <v>0</v>
      </c>
      <c r="J143" s="15">
        <f t="shared" ref="J143:J146" ca="1" si="70">IF(D143="Db",F143+H143-G143-I143,0)</f>
        <v>0</v>
      </c>
      <c r="K143" s="16">
        <f t="shared" ref="K143:K146" si="71">IF(D143="Kr",G143+I143-F143-H143,0)</f>
        <v>0</v>
      </c>
      <c r="L143" s="13">
        <f t="shared" ref="L143:L146" ca="1" si="72">SUMIF(KBPNY,B143,JB)</f>
        <v>0</v>
      </c>
      <c r="M143" s="13">
        <f t="shared" ref="M143:M146" ca="1" si="73">SUMIF(KBPNY,B143,JK)</f>
        <v>0</v>
      </c>
      <c r="N143" s="13">
        <f t="shared" ref="N143:N146" ca="1" si="74">IF(D143="Db",J143+L143-K143-M143,0)</f>
        <v>0</v>
      </c>
      <c r="O143" s="13">
        <f t="shared" ref="O143:O146" si="75">IF(D143="Kr",K143+M143-J143-L143,0)</f>
        <v>0</v>
      </c>
      <c r="P143" s="13">
        <f t="shared" ref="P143:P146" si="76">IF(E143="Lr",N143,0)</f>
        <v>0</v>
      </c>
      <c r="Q143" s="13">
        <f t="shared" ref="Q143:Q146" si="77">IF(E143="Lr",O143,0)</f>
        <v>0</v>
      </c>
      <c r="R143" s="13">
        <f t="shared" ref="R143:R146" ca="1" si="78">IF(E143="Nrc",N143,0)</f>
        <v>0</v>
      </c>
      <c r="S143" s="17">
        <f t="shared" ref="S143:S146" si="79">IF(E143="Nrc",O143,0)</f>
        <v>0</v>
      </c>
      <c r="U143" s="66"/>
    </row>
    <row r="144" spans="1:21" x14ac:dyDescent="0.3">
      <c r="A144">
        <f t="shared" si="62"/>
        <v>0</v>
      </c>
      <c r="B144" s="123">
        <f>'Formula (2)'!C143</f>
        <v>50028</v>
      </c>
      <c r="C144" s="12">
        <f t="shared" si="63"/>
        <v>0</v>
      </c>
      <c r="D144" s="12" t="str">
        <f t="shared" si="64"/>
        <v>Db</v>
      </c>
      <c r="E144" s="27" t="str">
        <f t="shared" si="65"/>
        <v>Nrc</v>
      </c>
      <c r="F144" s="25">
        <f t="shared" si="66"/>
        <v>0</v>
      </c>
      <c r="G144" s="14">
        <f t="shared" si="67"/>
        <v>0</v>
      </c>
      <c r="H144" s="16">
        <f t="shared" ca="1" si="68"/>
        <v>0</v>
      </c>
      <c r="I144" s="16">
        <f t="shared" ca="1" si="69"/>
        <v>0</v>
      </c>
      <c r="J144" s="15">
        <f t="shared" ca="1" si="70"/>
        <v>0</v>
      </c>
      <c r="K144" s="16">
        <f t="shared" si="71"/>
        <v>0</v>
      </c>
      <c r="L144" s="13">
        <f t="shared" ca="1" si="72"/>
        <v>0</v>
      </c>
      <c r="M144" s="13">
        <f t="shared" ca="1" si="73"/>
        <v>0</v>
      </c>
      <c r="N144" s="13">
        <f t="shared" ca="1" si="74"/>
        <v>0</v>
      </c>
      <c r="O144" s="13">
        <f t="shared" si="75"/>
        <v>0</v>
      </c>
      <c r="P144" s="13">
        <f t="shared" si="76"/>
        <v>0</v>
      </c>
      <c r="Q144" s="13">
        <f t="shared" si="77"/>
        <v>0</v>
      </c>
      <c r="R144" s="13">
        <f t="shared" ca="1" si="78"/>
        <v>0</v>
      </c>
      <c r="S144" s="17">
        <f t="shared" si="79"/>
        <v>0</v>
      </c>
      <c r="U144" s="66"/>
    </row>
    <row r="145" spans="1:21" x14ac:dyDescent="0.3">
      <c r="A145">
        <f t="shared" si="62"/>
        <v>0</v>
      </c>
      <c r="B145" s="123">
        <f>'Formula (2)'!C144</f>
        <v>50029</v>
      </c>
      <c r="C145" s="12">
        <f t="shared" si="63"/>
        <v>0</v>
      </c>
      <c r="D145" s="12" t="str">
        <f t="shared" si="64"/>
        <v>Db</v>
      </c>
      <c r="E145" s="27" t="str">
        <f t="shared" si="65"/>
        <v>Nrc</v>
      </c>
      <c r="F145" s="25">
        <f t="shared" si="66"/>
        <v>0</v>
      </c>
      <c r="G145" s="14">
        <f t="shared" si="67"/>
        <v>0</v>
      </c>
      <c r="H145" s="16">
        <f t="shared" ca="1" si="68"/>
        <v>0</v>
      </c>
      <c r="I145" s="16">
        <f t="shared" ca="1" si="69"/>
        <v>0</v>
      </c>
      <c r="J145" s="15">
        <f t="shared" ca="1" si="70"/>
        <v>0</v>
      </c>
      <c r="K145" s="16">
        <f t="shared" si="71"/>
        <v>0</v>
      </c>
      <c r="L145" s="13">
        <f t="shared" ca="1" si="72"/>
        <v>0</v>
      </c>
      <c r="M145" s="13">
        <f t="shared" ca="1" si="73"/>
        <v>0</v>
      </c>
      <c r="N145" s="13">
        <f t="shared" ca="1" si="74"/>
        <v>0</v>
      </c>
      <c r="O145" s="13">
        <f t="shared" si="75"/>
        <v>0</v>
      </c>
      <c r="P145" s="13">
        <f t="shared" si="76"/>
        <v>0</v>
      </c>
      <c r="Q145" s="13">
        <f t="shared" si="77"/>
        <v>0</v>
      </c>
      <c r="R145" s="13">
        <f t="shared" ca="1" si="78"/>
        <v>0</v>
      </c>
      <c r="S145" s="17">
        <f t="shared" si="79"/>
        <v>0</v>
      </c>
      <c r="U145" s="66"/>
    </row>
    <row r="146" spans="1:21" ht="15" thickBot="1" x14ac:dyDescent="0.35">
      <c r="A146">
        <f t="shared" si="62"/>
        <v>0</v>
      </c>
      <c r="B146" s="123">
        <f>'Formula (2)'!C145</f>
        <v>50030</v>
      </c>
      <c r="C146" s="12">
        <f t="shared" si="63"/>
        <v>0</v>
      </c>
      <c r="D146" s="12" t="str">
        <f t="shared" si="64"/>
        <v>Db</v>
      </c>
      <c r="E146" s="27" t="str">
        <f t="shared" si="65"/>
        <v>Nrc</v>
      </c>
      <c r="F146" s="25">
        <f t="shared" si="66"/>
        <v>0</v>
      </c>
      <c r="G146" s="14">
        <f t="shared" si="67"/>
        <v>0</v>
      </c>
      <c r="H146" s="16">
        <f t="shared" ca="1" si="68"/>
        <v>0</v>
      </c>
      <c r="I146" s="16">
        <f t="shared" ca="1" si="69"/>
        <v>0</v>
      </c>
      <c r="J146" s="15">
        <f t="shared" ca="1" si="70"/>
        <v>0</v>
      </c>
      <c r="K146" s="16">
        <f t="shared" si="71"/>
        <v>0</v>
      </c>
      <c r="L146" s="13">
        <f t="shared" ca="1" si="72"/>
        <v>0</v>
      </c>
      <c r="M146" s="13">
        <f t="shared" ca="1" si="73"/>
        <v>0</v>
      </c>
      <c r="N146" s="13">
        <f t="shared" ca="1" si="74"/>
        <v>0</v>
      </c>
      <c r="O146" s="13">
        <f t="shared" si="75"/>
        <v>0</v>
      </c>
      <c r="P146" s="13">
        <f t="shared" si="76"/>
        <v>0</v>
      </c>
      <c r="Q146" s="13">
        <f t="shared" si="77"/>
        <v>0</v>
      </c>
      <c r="R146" s="13">
        <f t="shared" ca="1" si="78"/>
        <v>0</v>
      </c>
      <c r="S146" s="17">
        <f t="shared" si="79"/>
        <v>0</v>
      </c>
      <c r="U146" s="66"/>
    </row>
    <row r="147" spans="1:21" ht="15" thickBot="1" x14ac:dyDescent="0.35">
      <c r="B147" s="251" t="s">
        <v>68</v>
      </c>
      <c r="C147" s="252"/>
      <c r="D147" s="253" t="s">
        <v>61</v>
      </c>
      <c r="E147" s="254"/>
      <c r="F147" s="26">
        <f>SUM(F9:F146)</f>
        <v>1100000</v>
      </c>
      <c r="G147" s="26">
        <f>SUM(G9:G146)</f>
        <v>1100000</v>
      </c>
      <c r="H147" s="26">
        <f ca="1">SUM(H9:H146)</f>
        <v>20000</v>
      </c>
      <c r="I147" s="26">
        <f ca="1">SUM(I9:I146)</f>
        <v>20000</v>
      </c>
      <c r="J147" s="26">
        <f ca="1">SUM(J9:J146)</f>
        <v>1100000</v>
      </c>
      <c r="K147" s="26">
        <f ca="1">SUM(K9:K146)</f>
        <v>1100000</v>
      </c>
      <c r="L147" s="26">
        <f ca="1">SUM(L9:L146)</f>
        <v>10000</v>
      </c>
      <c r="M147" s="26">
        <f ca="1">SUM(M9:M146)</f>
        <v>10000</v>
      </c>
      <c r="N147" s="26">
        <f ca="1">SUM(N9:N146)</f>
        <v>1100000</v>
      </c>
      <c r="O147" s="26">
        <f ca="1">SUM(O9:O146)</f>
        <v>1100000</v>
      </c>
      <c r="P147" s="26">
        <f ca="1">SUM(P9:P146)</f>
        <v>510000</v>
      </c>
      <c r="Q147" s="26">
        <f ca="1">SUM(Q9:Q146)</f>
        <v>1000000</v>
      </c>
      <c r="R147" s="26">
        <f ca="1">SUM(R9:R146)</f>
        <v>590000</v>
      </c>
      <c r="S147" s="26">
        <f ca="1">SUM(S9:S146)</f>
        <v>100000</v>
      </c>
      <c r="U147" s="66"/>
    </row>
    <row r="148" spans="1:21" ht="15" thickBot="1" x14ac:dyDescent="0.35">
      <c r="P148" s="22" t="str">
        <f ca="1">IF(Q147&gt;P147,"Laba","Rugi")</f>
        <v>Laba</v>
      </c>
      <c r="Q148" s="20">
        <f ca="1">IF(P147&gt;Q147,P147-Q147,Q147-P147)</f>
        <v>490000</v>
      </c>
      <c r="R148" s="23" t="s">
        <v>229</v>
      </c>
      <c r="S148" s="21">
        <f ca="1">IF(R147&gt;S147,R147-S147,S147-R147)</f>
        <v>490000</v>
      </c>
      <c r="U148" s="66"/>
    </row>
    <row r="149" spans="1:21" x14ac:dyDescent="0.3">
      <c r="U149" s="66"/>
    </row>
  </sheetData>
  <autoFilter ref="A6:A148" xr:uid="{20C2DA22-106F-4715-A667-BE4161D3FA6F}"/>
  <mergeCells count="16">
    <mergeCell ref="B2:S2"/>
    <mergeCell ref="B3:S3"/>
    <mergeCell ref="B4:S4"/>
    <mergeCell ref="F6:I6"/>
    <mergeCell ref="J6:K6"/>
    <mergeCell ref="L6:M6"/>
    <mergeCell ref="N6:O6"/>
    <mergeCell ref="P6:Q6"/>
    <mergeCell ref="R6:S6"/>
    <mergeCell ref="B5:S5"/>
    <mergeCell ref="B147:C147"/>
    <mergeCell ref="D147:E147"/>
    <mergeCell ref="C6:C7"/>
    <mergeCell ref="D6:D7"/>
    <mergeCell ref="E6:E7"/>
    <mergeCell ref="B6:B7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A0AF-AEBF-48F8-A848-37E90E215C5B}">
  <sheetPr filterMode="1"/>
  <dimension ref="A1:O63"/>
  <sheetViews>
    <sheetView topLeftCell="A48" workbookViewId="0">
      <selection activeCell="M19" sqref="M19"/>
    </sheetView>
  </sheetViews>
  <sheetFormatPr defaultRowHeight="14.4" x14ac:dyDescent="0.3"/>
  <cols>
    <col min="3" max="3" width="30.21875" customWidth="1"/>
    <col min="5" max="5" width="13.6640625" customWidth="1"/>
    <col min="6" max="6" width="13" customWidth="1"/>
    <col min="7" max="7" width="13.33203125" customWidth="1"/>
  </cols>
  <sheetData>
    <row r="1" spans="1:7" ht="15" thickBot="1" x14ac:dyDescent="0.35"/>
    <row r="2" spans="1:7" x14ac:dyDescent="0.3">
      <c r="B2" s="236" t="str">
        <f>'Worksheet (6)'!B2:S2</f>
        <v>CV Max Picture</v>
      </c>
      <c r="C2" s="237"/>
      <c r="D2" s="237"/>
      <c r="E2" s="237"/>
      <c r="F2" s="237"/>
      <c r="G2" s="238"/>
    </row>
    <row r="3" spans="1:7" x14ac:dyDescent="0.3">
      <c r="B3" s="239" t="s">
        <v>129</v>
      </c>
      <c r="C3" s="215"/>
      <c r="D3" s="215"/>
      <c r="E3" s="215"/>
      <c r="F3" s="215"/>
      <c r="G3" s="240"/>
    </row>
    <row r="4" spans="1:7" ht="15" thickBot="1" x14ac:dyDescent="0.35">
      <c r="B4" s="241" t="str">
        <f>'Worksheet (6)'!B4:S4</f>
        <v>Periode Desember 2021</v>
      </c>
      <c r="C4" s="242"/>
      <c r="D4" s="242"/>
      <c r="E4" s="242"/>
      <c r="F4" s="242"/>
      <c r="G4" s="243"/>
    </row>
    <row r="5" spans="1:7" ht="15" thickBot="1" x14ac:dyDescent="0.35">
      <c r="B5" s="257" t="str">
        <f>'Worksheet (6)'!B5:S5</f>
        <v>~ Dilarang keras merubah (Apapun) yang bukan menjadi kepentingan Anda !  ~</v>
      </c>
      <c r="C5" s="258"/>
      <c r="D5" s="258"/>
      <c r="E5" s="258"/>
      <c r="F5" s="258"/>
      <c r="G5" s="259"/>
    </row>
    <row r="6" spans="1:7" ht="15" thickBot="1" x14ac:dyDescent="0.35">
      <c r="B6" s="41" t="s">
        <v>15</v>
      </c>
      <c r="C6" s="42" t="s">
        <v>13</v>
      </c>
      <c r="D6" s="42" t="s">
        <v>3</v>
      </c>
      <c r="E6" s="42" t="s">
        <v>117</v>
      </c>
      <c r="F6" s="52" t="s">
        <v>5</v>
      </c>
      <c r="G6" s="59" t="s">
        <v>21</v>
      </c>
    </row>
    <row r="7" spans="1:7" x14ac:dyDescent="0.3">
      <c r="A7">
        <f t="shared" ref="A7:A61" si="0">IF(C7=0,0,1)</f>
        <v>1</v>
      </c>
      <c r="B7" s="151">
        <f>'Worksheet (6)'!B94</f>
        <v>40000</v>
      </c>
      <c r="C7" s="147" t="str">
        <f t="shared" ref="C7:C17" si="1">VLOOKUP(B7,neracalajur,2,0)</f>
        <v>Pendapatan oprasional</v>
      </c>
      <c r="D7" s="1" t="str">
        <f>VLOOKUP(B7,neracalajur,3,0)</f>
        <v>Kr</v>
      </c>
      <c r="E7" s="7">
        <f>VLOOKUP(B7,neracalajur,15,0)</f>
        <v>0</v>
      </c>
      <c r="F7" s="54">
        <f t="shared" ref="F7:F17" ca="1" si="2">VLOOKUP(B7,neracalajur,16,0)</f>
        <v>0</v>
      </c>
      <c r="G7" s="141">
        <f t="shared" ref="G7:G17" ca="1" si="3">IF(D7="Kr",F7-E7,E7-F7)</f>
        <v>0</v>
      </c>
    </row>
    <row r="8" spans="1:7" x14ac:dyDescent="0.3">
      <c r="A8">
        <f t="shared" si="0"/>
        <v>1</v>
      </c>
      <c r="B8" s="358">
        <f>'Worksheet (6)'!B95</f>
        <v>40001</v>
      </c>
      <c r="C8" s="149" t="str">
        <f t="shared" si="1"/>
        <v>Pendapatan Bunga</v>
      </c>
      <c r="D8" s="1" t="str">
        <f t="shared" ref="D8:D17" si="4">VLOOKUP(B8,neracalajur,3,0)</f>
        <v>Kr</v>
      </c>
      <c r="E8" s="7">
        <f t="shared" ref="E8:E17" si="5">VLOOKUP(B8,neracalajur,15,0)</f>
        <v>0</v>
      </c>
      <c r="F8" s="54">
        <f t="shared" ca="1" si="2"/>
        <v>0</v>
      </c>
      <c r="G8" s="142">
        <f t="shared" ca="1" si="3"/>
        <v>0</v>
      </c>
    </row>
    <row r="9" spans="1:7" x14ac:dyDescent="0.3">
      <c r="A9">
        <f t="shared" si="0"/>
        <v>1</v>
      </c>
      <c r="B9" s="358">
        <f>'Worksheet (6)'!B96</f>
        <v>40002</v>
      </c>
      <c r="C9" s="149" t="str">
        <f t="shared" si="1"/>
        <v>Retur Penjualan</v>
      </c>
      <c r="D9" s="1" t="str">
        <f t="shared" si="4"/>
        <v>Kr</v>
      </c>
      <c r="E9" s="7">
        <f t="shared" si="5"/>
        <v>0</v>
      </c>
      <c r="F9" s="54">
        <f t="shared" ca="1" si="2"/>
        <v>0</v>
      </c>
      <c r="G9" s="142">
        <f t="shared" ca="1" si="3"/>
        <v>0</v>
      </c>
    </row>
    <row r="10" spans="1:7" x14ac:dyDescent="0.3">
      <c r="A10">
        <f t="shared" si="0"/>
        <v>1</v>
      </c>
      <c r="B10" s="358">
        <f>'Worksheet (6)'!B97</f>
        <v>40003</v>
      </c>
      <c r="C10" s="149" t="str">
        <f t="shared" si="1"/>
        <v>Potongan Penjualan</v>
      </c>
      <c r="D10" s="1" t="str">
        <f t="shared" si="4"/>
        <v>Kr</v>
      </c>
      <c r="E10" s="7">
        <f t="shared" si="5"/>
        <v>0</v>
      </c>
      <c r="F10" s="54">
        <f t="shared" ca="1" si="2"/>
        <v>0</v>
      </c>
      <c r="G10" s="142">
        <f t="shared" ca="1" si="3"/>
        <v>0</v>
      </c>
    </row>
    <row r="11" spans="1:7" x14ac:dyDescent="0.3">
      <c r="A11">
        <f t="shared" si="0"/>
        <v>1</v>
      </c>
      <c r="B11" s="358">
        <f>'Worksheet (6)'!B98</f>
        <v>40004</v>
      </c>
      <c r="C11" s="149" t="str">
        <f t="shared" si="1"/>
        <v>Pembelian</v>
      </c>
      <c r="D11" s="1" t="str">
        <f t="shared" si="4"/>
        <v>Kr</v>
      </c>
      <c r="E11" s="7">
        <f t="shared" si="5"/>
        <v>0</v>
      </c>
      <c r="F11" s="54">
        <f t="shared" ca="1" si="2"/>
        <v>0</v>
      </c>
      <c r="G11" s="142">
        <f t="shared" ca="1" si="3"/>
        <v>0</v>
      </c>
    </row>
    <row r="12" spans="1:7" x14ac:dyDescent="0.3">
      <c r="A12">
        <f t="shared" si="0"/>
        <v>1</v>
      </c>
      <c r="B12" s="358">
        <f>'Worksheet (6)'!B99</f>
        <v>40005</v>
      </c>
      <c r="C12" s="149" t="str">
        <f t="shared" si="1"/>
        <v xml:space="preserve">Retur Pembelian </v>
      </c>
      <c r="D12" s="1" t="str">
        <f t="shared" si="4"/>
        <v>Kr</v>
      </c>
      <c r="E12" s="7">
        <f t="shared" si="5"/>
        <v>0</v>
      </c>
      <c r="F12" s="54">
        <f t="shared" ca="1" si="2"/>
        <v>1000000</v>
      </c>
      <c r="G12" s="142">
        <f t="shared" ca="1" si="3"/>
        <v>1000000</v>
      </c>
    </row>
    <row r="13" spans="1:7" x14ac:dyDescent="0.3">
      <c r="A13">
        <f t="shared" si="0"/>
        <v>1</v>
      </c>
      <c r="B13" s="358">
        <f>'Worksheet (6)'!B100</f>
        <v>40006</v>
      </c>
      <c r="C13" s="149" t="str">
        <f t="shared" si="1"/>
        <v>Beban Angkut Pembelian</v>
      </c>
      <c r="D13" s="1" t="str">
        <f t="shared" si="4"/>
        <v>Kr</v>
      </c>
      <c r="E13" s="7">
        <f t="shared" si="5"/>
        <v>0</v>
      </c>
      <c r="F13" s="54">
        <f t="shared" ca="1" si="2"/>
        <v>0</v>
      </c>
      <c r="G13" s="142">
        <f t="shared" ca="1" si="3"/>
        <v>0</v>
      </c>
    </row>
    <row r="14" spans="1:7" x14ac:dyDescent="0.3">
      <c r="A14">
        <f t="shared" si="0"/>
        <v>1</v>
      </c>
      <c r="B14" s="358">
        <f>'Worksheet (6)'!B101</f>
        <v>40007</v>
      </c>
      <c r="C14" s="149" t="str">
        <f t="shared" si="1"/>
        <v>IRL</v>
      </c>
      <c r="D14" s="1" t="str">
        <f t="shared" si="4"/>
        <v>Kr</v>
      </c>
      <c r="E14" s="7">
        <f t="shared" si="5"/>
        <v>0</v>
      </c>
      <c r="F14" s="54">
        <f t="shared" ca="1" si="2"/>
        <v>0</v>
      </c>
      <c r="G14" s="142">
        <f t="shared" ca="1" si="3"/>
        <v>0</v>
      </c>
    </row>
    <row r="15" spans="1:7" x14ac:dyDescent="0.3">
      <c r="A15">
        <f t="shared" si="0"/>
        <v>1</v>
      </c>
      <c r="B15" s="358">
        <f>'Worksheet (6)'!B102</f>
        <v>40008</v>
      </c>
      <c r="C15" s="149" t="str">
        <f t="shared" si="1"/>
        <v xml:space="preserve">Potongan Pembelian </v>
      </c>
      <c r="D15" s="1" t="str">
        <f t="shared" si="4"/>
        <v>Kr</v>
      </c>
      <c r="E15" s="7">
        <f t="shared" si="5"/>
        <v>0</v>
      </c>
      <c r="F15" s="54">
        <f t="shared" ca="1" si="2"/>
        <v>0</v>
      </c>
      <c r="G15" s="142">
        <f t="shared" ca="1" si="3"/>
        <v>0</v>
      </c>
    </row>
    <row r="16" spans="1:7" hidden="1" x14ac:dyDescent="0.3">
      <c r="A16">
        <f t="shared" si="0"/>
        <v>0</v>
      </c>
      <c r="B16" s="358">
        <f>'Worksheet (6)'!B103</f>
        <v>40009</v>
      </c>
      <c r="C16" s="149">
        <f t="shared" si="1"/>
        <v>0</v>
      </c>
      <c r="D16" s="1" t="str">
        <f t="shared" si="4"/>
        <v>Db</v>
      </c>
      <c r="E16" s="7">
        <f t="shared" si="5"/>
        <v>0</v>
      </c>
      <c r="F16" s="54">
        <f t="shared" si="2"/>
        <v>0</v>
      </c>
      <c r="G16" s="142">
        <f t="shared" si="3"/>
        <v>0</v>
      </c>
    </row>
    <row r="17" spans="1:7" hidden="1" x14ac:dyDescent="0.3">
      <c r="A17">
        <f t="shared" si="0"/>
        <v>0</v>
      </c>
      <c r="B17" s="358">
        <f>'Worksheet (6)'!B104</f>
        <v>40010</v>
      </c>
      <c r="C17" s="149">
        <f t="shared" si="1"/>
        <v>0</v>
      </c>
      <c r="D17" s="1" t="str">
        <f t="shared" si="4"/>
        <v>Db</v>
      </c>
      <c r="E17" s="7">
        <f t="shared" si="5"/>
        <v>0</v>
      </c>
      <c r="F17" s="54">
        <f t="shared" si="2"/>
        <v>0</v>
      </c>
      <c r="G17" s="143">
        <f t="shared" si="3"/>
        <v>0</v>
      </c>
    </row>
    <row r="18" spans="1:7" x14ac:dyDescent="0.3">
      <c r="A18">
        <f t="shared" si="0"/>
        <v>1</v>
      </c>
      <c r="B18" s="151">
        <f>'Worksheet (6)'!B105</f>
        <v>41000</v>
      </c>
      <c r="C18" s="149" t="str">
        <f t="shared" ref="C18:C28" si="6">VLOOKUP(B18,neracalajur,2,0)</f>
        <v>Pendapatan Non Oprasional</v>
      </c>
      <c r="D18" s="1" t="str">
        <f t="shared" ref="D18:D28" si="7">VLOOKUP(B18,neracalajur,3,0)</f>
        <v>Kr</v>
      </c>
      <c r="E18" s="7">
        <f t="shared" ref="E18:E28" si="8">VLOOKUP(B18,neracalajur,15,0)</f>
        <v>0</v>
      </c>
      <c r="F18" s="54">
        <f t="shared" ref="F18:F28" ca="1" si="9">VLOOKUP(B18,neracalajur,16,0)</f>
        <v>0</v>
      </c>
      <c r="G18" s="143">
        <f t="shared" ref="G18:G28" ca="1" si="10">IF(D18="Kr",F18-E18,E18-F18)</f>
        <v>0</v>
      </c>
    </row>
    <row r="19" spans="1:7" ht="15" thickBot="1" x14ac:dyDescent="0.35">
      <c r="A19">
        <f t="shared" si="0"/>
        <v>1</v>
      </c>
      <c r="B19" s="358">
        <f>'Worksheet (6)'!B106</f>
        <v>41001</v>
      </c>
      <c r="C19" s="149" t="str">
        <f t="shared" si="6"/>
        <v>Pendapatan Bunga</v>
      </c>
      <c r="D19" s="1" t="str">
        <f t="shared" si="7"/>
        <v>Kr</v>
      </c>
      <c r="E19" s="7">
        <f t="shared" si="8"/>
        <v>0</v>
      </c>
      <c r="F19" s="54">
        <f t="shared" ca="1" si="9"/>
        <v>0</v>
      </c>
      <c r="G19" s="143">
        <f t="shared" ca="1" si="10"/>
        <v>0</v>
      </c>
    </row>
    <row r="20" spans="1:7" ht="15" hidden="1" thickBot="1" x14ac:dyDescent="0.35">
      <c r="A20">
        <f t="shared" si="0"/>
        <v>0</v>
      </c>
      <c r="B20" s="358">
        <f>'Worksheet (6)'!B107</f>
        <v>41002</v>
      </c>
      <c r="C20" s="149">
        <f t="shared" si="6"/>
        <v>0</v>
      </c>
      <c r="D20" s="1" t="str">
        <f t="shared" si="7"/>
        <v>Db</v>
      </c>
      <c r="E20" s="7">
        <f t="shared" si="8"/>
        <v>0</v>
      </c>
      <c r="F20" s="54">
        <f t="shared" si="9"/>
        <v>0</v>
      </c>
      <c r="G20" s="143">
        <f t="shared" si="10"/>
        <v>0</v>
      </c>
    </row>
    <row r="21" spans="1:7" ht="15" hidden="1" thickBot="1" x14ac:dyDescent="0.35">
      <c r="A21">
        <f t="shared" si="0"/>
        <v>0</v>
      </c>
      <c r="B21" s="358">
        <f>'Worksheet (6)'!B108</f>
        <v>41003</v>
      </c>
      <c r="C21" s="149">
        <f t="shared" si="6"/>
        <v>0</v>
      </c>
      <c r="D21" s="1" t="str">
        <f t="shared" si="7"/>
        <v>Db</v>
      </c>
      <c r="E21" s="7">
        <f t="shared" si="8"/>
        <v>0</v>
      </c>
      <c r="F21" s="54">
        <f t="shared" si="9"/>
        <v>0</v>
      </c>
      <c r="G21" s="143">
        <f t="shared" si="10"/>
        <v>0</v>
      </c>
    </row>
    <row r="22" spans="1:7" ht="15" hidden="1" thickBot="1" x14ac:dyDescent="0.35">
      <c r="A22">
        <f t="shared" si="0"/>
        <v>0</v>
      </c>
      <c r="B22" s="358">
        <f>'Worksheet (6)'!B109</f>
        <v>41004</v>
      </c>
      <c r="C22" s="149">
        <f t="shared" si="6"/>
        <v>0</v>
      </c>
      <c r="D22" s="1" t="str">
        <f t="shared" si="7"/>
        <v>Db</v>
      </c>
      <c r="E22" s="7">
        <f t="shared" si="8"/>
        <v>0</v>
      </c>
      <c r="F22" s="54">
        <f t="shared" si="9"/>
        <v>0</v>
      </c>
      <c r="G22" s="143">
        <f t="shared" si="10"/>
        <v>0</v>
      </c>
    </row>
    <row r="23" spans="1:7" ht="15" hidden="1" thickBot="1" x14ac:dyDescent="0.35">
      <c r="A23">
        <f t="shared" si="0"/>
        <v>0</v>
      </c>
      <c r="B23" s="358">
        <f>'Worksheet (6)'!B110</f>
        <v>41005</v>
      </c>
      <c r="C23" s="149">
        <f t="shared" si="6"/>
        <v>0</v>
      </c>
      <c r="D23" s="1" t="str">
        <f t="shared" si="7"/>
        <v>Db</v>
      </c>
      <c r="E23" s="7">
        <f t="shared" si="8"/>
        <v>0</v>
      </c>
      <c r="F23" s="54">
        <f t="shared" si="9"/>
        <v>0</v>
      </c>
      <c r="G23" s="143">
        <f t="shared" si="10"/>
        <v>0</v>
      </c>
    </row>
    <row r="24" spans="1:7" ht="15" hidden="1" thickBot="1" x14ac:dyDescent="0.35">
      <c r="A24">
        <f t="shared" si="0"/>
        <v>0</v>
      </c>
      <c r="B24" s="358">
        <f>'Worksheet (6)'!B111</f>
        <v>41006</v>
      </c>
      <c r="C24" s="149">
        <f t="shared" si="6"/>
        <v>0</v>
      </c>
      <c r="D24" s="1" t="str">
        <f t="shared" si="7"/>
        <v>Db</v>
      </c>
      <c r="E24" s="7">
        <f t="shared" si="8"/>
        <v>0</v>
      </c>
      <c r="F24" s="54">
        <f t="shared" si="9"/>
        <v>0</v>
      </c>
      <c r="G24" s="143">
        <f t="shared" si="10"/>
        <v>0</v>
      </c>
    </row>
    <row r="25" spans="1:7" ht="15" hidden="1" thickBot="1" x14ac:dyDescent="0.35">
      <c r="A25">
        <f t="shared" si="0"/>
        <v>0</v>
      </c>
      <c r="B25" s="358">
        <f>'Worksheet (6)'!B112</f>
        <v>41007</v>
      </c>
      <c r="C25" s="149">
        <f t="shared" si="6"/>
        <v>0</v>
      </c>
      <c r="D25" s="1" t="str">
        <f t="shared" si="7"/>
        <v>Db</v>
      </c>
      <c r="E25" s="7">
        <f t="shared" si="8"/>
        <v>0</v>
      </c>
      <c r="F25" s="54">
        <f t="shared" si="9"/>
        <v>0</v>
      </c>
      <c r="G25" s="143">
        <f t="shared" si="10"/>
        <v>0</v>
      </c>
    </row>
    <row r="26" spans="1:7" ht="15" hidden="1" thickBot="1" x14ac:dyDescent="0.35">
      <c r="A26">
        <f t="shared" si="0"/>
        <v>0</v>
      </c>
      <c r="B26" s="358">
        <f>'Worksheet (6)'!B113</f>
        <v>41008</v>
      </c>
      <c r="C26" s="149">
        <f t="shared" si="6"/>
        <v>0</v>
      </c>
      <c r="D26" s="1" t="str">
        <f t="shared" si="7"/>
        <v>Db</v>
      </c>
      <c r="E26" s="7">
        <f t="shared" si="8"/>
        <v>0</v>
      </c>
      <c r="F26" s="54">
        <f t="shared" si="9"/>
        <v>0</v>
      </c>
      <c r="G26" s="143">
        <f t="shared" si="10"/>
        <v>0</v>
      </c>
    </row>
    <row r="27" spans="1:7" ht="15" hidden="1" thickBot="1" x14ac:dyDescent="0.35">
      <c r="A27">
        <f t="shared" si="0"/>
        <v>0</v>
      </c>
      <c r="B27" s="358">
        <f>'Worksheet (6)'!B114</f>
        <v>41009</v>
      </c>
      <c r="C27" s="149">
        <f t="shared" si="6"/>
        <v>0</v>
      </c>
      <c r="D27" s="1" t="str">
        <f t="shared" si="7"/>
        <v>Db</v>
      </c>
      <c r="E27" s="7">
        <f t="shared" si="8"/>
        <v>0</v>
      </c>
      <c r="F27" s="54">
        <f t="shared" si="9"/>
        <v>0</v>
      </c>
      <c r="G27" s="143">
        <f t="shared" si="10"/>
        <v>0</v>
      </c>
    </row>
    <row r="28" spans="1:7" ht="15" hidden="1" thickBot="1" x14ac:dyDescent="0.35">
      <c r="A28">
        <f t="shared" si="0"/>
        <v>0</v>
      </c>
      <c r="B28" s="358">
        <f>'Worksheet (6)'!B115</f>
        <v>41010</v>
      </c>
      <c r="C28" s="149">
        <f t="shared" si="6"/>
        <v>0</v>
      </c>
      <c r="D28" s="1" t="str">
        <f t="shared" si="7"/>
        <v>Db</v>
      </c>
      <c r="E28" s="7">
        <f t="shared" si="8"/>
        <v>0</v>
      </c>
      <c r="F28" s="54">
        <f t="shared" si="9"/>
        <v>0</v>
      </c>
      <c r="G28" s="143">
        <f t="shared" si="10"/>
        <v>0</v>
      </c>
    </row>
    <row r="29" spans="1:7" ht="15" thickBot="1" x14ac:dyDescent="0.35">
      <c r="A29">
        <f t="shared" si="0"/>
        <v>1</v>
      </c>
      <c r="B29" s="152"/>
      <c r="C29" s="133" t="s">
        <v>118</v>
      </c>
      <c r="D29" s="31" t="s">
        <v>61</v>
      </c>
      <c r="E29" s="10">
        <f>SUM(E7:E17)</f>
        <v>0</v>
      </c>
      <c r="F29" s="135">
        <f ca="1">SUM(F7:F17)</f>
        <v>1000000</v>
      </c>
      <c r="G29" s="145">
        <f ca="1">IF(E29&gt;F29,E29-F29,F29-E29)</f>
        <v>1000000</v>
      </c>
    </row>
    <row r="30" spans="1:7" ht="15" hidden="1" thickBot="1" x14ac:dyDescent="0.35">
      <c r="A30">
        <f t="shared" si="0"/>
        <v>0</v>
      </c>
      <c r="B30" s="225"/>
      <c r="C30" s="226"/>
      <c r="D30" s="226"/>
      <c r="E30" s="226"/>
      <c r="F30" s="226"/>
      <c r="G30" s="227"/>
    </row>
    <row r="31" spans="1:7" x14ac:dyDescent="0.3">
      <c r="A31">
        <f t="shared" si="0"/>
        <v>1</v>
      </c>
      <c r="B31" s="153">
        <f>'Worksheet (6)'!B116</f>
        <v>50000</v>
      </c>
      <c r="C31" s="148" t="str">
        <f t="shared" ref="C31:C52" si="11">VLOOKUP(B31,neracalajur,2,0)</f>
        <v>Beban Oprasional</v>
      </c>
      <c r="D31" s="77" t="str">
        <f t="shared" ref="D31:D52" si="12">VLOOKUP(B31,neracalajur,3,0)</f>
        <v>Db</v>
      </c>
      <c r="E31" s="43">
        <f t="shared" ref="E31:E52" ca="1" si="13">VLOOKUP(B31,neracalajur,15,0)</f>
        <v>0</v>
      </c>
      <c r="F31" s="53">
        <f t="shared" ref="F31:F52" si="14">VLOOKUP(B31,neracalajur,16,0)</f>
        <v>0</v>
      </c>
      <c r="G31" s="141">
        <f t="shared" ref="G31:G52" ca="1" si="15">IF(D31="Kr",F31-E31,E31-F31)</f>
        <v>0</v>
      </c>
    </row>
    <row r="32" spans="1:7" x14ac:dyDescent="0.3">
      <c r="A32">
        <f t="shared" si="0"/>
        <v>1</v>
      </c>
      <c r="B32" s="359">
        <f>'Worksheet (6)'!B117</f>
        <v>50001</v>
      </c>
      <c r="C32" s="149" t="str">
        <f t="shared" si="11"/>
        <v>Beban Gaji Toko</v>
      </c>
      <c r="D32" s="118" t="str">
        <f t="shared" si="12"/>
        <v>Db</v>
      </c>
      <c r="E32" s="7">
        <f t="shared" ca="1" si="13"/>
        <v>500000</v>
      </c>
      <c r="F32" s="54">
        <f t="shared" si="14"/>
        <v>0</v>
      </c>
      <c r="G32" s="142">
        <f t="shared" ca="1" si="15"/>
        <v>500000</v>
      </c>
    </row>
    <row r="33" spans="1:15" x14ac:dyDescent="0.3">
      <c r="A33">
        <f t="shared" si="0"/>
        <v>1</v>
      </c>
      <c r="B33" s="359">
        <f>'Worksheet (6)'!B118</f>
        <v>50002</v>
      </c>
      <c r="C33" s="149" t="str">
        <f t="shared" si="11"/>
        <v>Beban Gaji Kantor</v>
      </c>
      <c r="D33" s="118" t="str">
        <f t="shared" si="12"/>
        <v>Db</v>
      </c>
      <c r="E33" s="7">
        <f t="shared" ca="1" si="13"/>
        <v>0</v>
      </c>
      <c r="F33" s="54">
        <f t="shared" si="14"/>
        <v>0</v>
      </c>
      <c r="G33" s="142">
        <f t="shared" ca="1" si="15"/>
        <v>0</v>
      </c>
    </row>
    <row r="34" spans="1:15" x14ac:dyDescent="0.3">
      <c r="A34">
        <f t="shared" si="0"/>
        <v>1</v>
      </c>
      <c r="B34" s="359">
        <f>'Worksheet (6)'!B119</f>
        <v>50003</v>
      </c>
      <c r="C34" s="149" t="str">
        <f t="shared" si="11"/>
        <v>Beban Sewa Lahan</v>
      </c>
      <c r="D34" s="118" t="str">
        <f t="shared" si="12"/>
        <v>Db</v>
      </c>
      <c r="E34" s="7">
        <f t="shared" ca="1" si="13"/>
        <v>0</v>
      </c>
      <c r="F34" s="54">
        <f t="shared" si="14"/>
        <v>0</v>
      </c>
      <c r="G34" s="142">
        <f t="shared" ca="1" si="15"/>
        <v>0</v>
      </c>
    </row>
    <row r="35" spans="1:15" x14ac:dyDescent="0.3">
      <c r="A35">
        <f t="shared" si="0"/>
        <v>1</v>
      </c>
      <c r="B35" s="359">
        <f>'Worksheet (6)'!B120</f>
        <v>50004</v>
      </c>
      <c r="C35" s="149" t="str">
        <f t="shared" si="11"/>
        <v>Beban Asuransi</v>
      </c>
      <c r="D35" s="118" t="str">
        <f t="shared" si="12"/>
        <v>Db</v>
      </c>
      <c r="E35" s="7">
        <f t="shared" ca="1" si="13"/>
        <v>0</v>
      </c>
      <c r="F35" s="54">
        <f t="shared" si="14"/>
        <v>0</v>
      </c>
      <c r="G35" s="142">
        <f t="shared" ca="1" si="15"/>
        <v>0</v>
      </c>
    </row>
    <row r="36" spans="1:15" x14ac:dyDescent="0.3">
      <c r="A36">
        <f t="shared" si="0"/>
        <v>1</v>
      </c>
      <c r="B36" s="359">
        <f>'Worksheet (6)'!B121</f>
        <v>50005</v>
      </c>
      <c r="C36" s="149" t="str">
        <f t="shared" si="11"/>
        <v>Beban Penyesuaian Piutang</v>
      </c>
      <c r="D36" s="118" t="str">
        <f t="shared" si="12"/>
        <v>Db</v>
      </c>
      <c r="E36" s="7">
        <f t="shared" ca="1" si="13"/>
        <v>0</v>
      </c>
      <c r="F36" s="54">
        <f t="shared" si="14"/>
        <v>0</v>
      </c>
      <c r="G36" s="142">
        <f t="shared" ca="1" si="15"/>
        <v>0</v>
      </c>
    </row>
    <row r="37" spans="1:15" x14ac:dyDescent="0.3">
      <c r="A37">
        <f t="shared" si="0"/>
        <v>1</v>
      </c>
      <c r="B37" s="359">
        <f>'Worksheet (6)'!B122</f>
        <v>50006</v>
      </c>
      <c r="C37" s="149" t="str">
        <f t="shared" si="11"/>
        <v>Beban Perlengkapan Kantor</v>
      </c>
      <c r="D37" s="118" t="str">
        <f t="shared" si="12"/>
        <v>Db</v>
      </c>
      <c r="E37" s="7">
        <f t="shared" ca="1" si="13"/>
        <v>10000</v>
      </c>
      <c r="F37" s="54">
        <f t="shared" si="14"/>
        <v>0</v>
      </c>
      <c r="G37" s="142">
        <f t="shared" ca="1" si="15"/>
        <v>10000</v>
      </c>
    </row>
    <row r="38" spans="1:15" x14ac:dyDescent="0.3">
      <c r="A38">
        <f t="shared" si="0"/>
        <v>1</v>
      </c>
      <c r="B38" s="359">
        <f>'Worksheet (6)'!B123</f>
        <v>50007</v>
      </c>
      <c r="C38" s="149" t="str">
        <f t="shared" si="11"/>
        <v>Beban Perlengkapan Toko</v>
      </c>
      <c r="D38" s="118" t="str">
        <f t="shared" si="12"/>
        <v>Db</v>
      </c>
      <c r="E38" s="7">
        <f t="shared" ca="1" si="13"/>
        <v>0</v>
      </c>
      <c r="F38" s="54">
        <f t="shared" si="14"/>
        <v>0</v>
      </c>
      <c r="G38" s="142">
        <f t="shared" ca="1" si="15"/>
        <v>0</v>
      </c>
    </row>
    <row r="39" spans="1:15" x14ac:dyDescent="0.3">
      <c r="A39">
        <f t="shared" si="0"/>
        <v>1</v>
      </c>
      <c r="B39" s="359">
        <f>'Worksheet (6)'!B124</f>
        <v>50008</v>
      </c>
      <c r="C39" s="149" t="str">
        <f t="shared" si="11"/>
        <v>Beban Iklan</v>
      </c>
      <c r="D39" s="118" t="str">
        <f t="shared" si="12"/>
        <v>Db</v>
      </c>
      <c r="E39" s="7">
        <f t="shared" ca="1" si="13"/>
        <v>0</v>
      </c>
      <c r="F39" s="54">
        <f t="shared" si="14"/>
        <v>0</v>
      </c>
      <c r="G39" s="142">
        <f t="shared" ca="1" si="15"/>
        <v>0</v>
      </c>
    </row>
    <row r="40" spans="1:15" x14ac:dyDescent="0.3">
      <c r="A40">
        <f t="shared" si="0"/>
        <v>1</v>
      </c>
      <c r="B40" s="359">
        <f>'Worksheet (6)'!B125</f>
        <v>50009</v>
      </c>
      <c r="C40" s="149" t="str">
        <f t="shared" si="11"/>
        <v>Beban Penyusutan Peralatan kantor</v>
      </c>
      <c r="D40" s="118" t="str">
        <f t="shared" si="12"/>
        <v>Db</v>
      </c>
      <c r="E40" s="7">
        <f t="shared" ca="1" si="13"/>
        <v>0</v>
      </c>
      <c r="F40" s="54">
        <f t="shared" si="14"/>
        <v>0</v>
      </c>
      <c r="G40" s="142">
        <f t="shared" ca="1" si="15"/>
        <v>0</v>
      </c>
    </row>
    <row r="41" spans="1:15" x14ac:dyDescent="0.3">
      <c r="A41">
        <f t="shared" si="0"/>
        <v>1</v>
      </c>
      <c r="B41" s="359">
        <f>'Worksheet (6)'!B126</f>
        <v>50010</v>
      </c>
      <c r="C41" s="149" t="str">
        <f t="shared" si="11"/>
        <v>Beban Penyusutan Gedung</v>
      </c>
      <c r="D41" s="118" t="str">
        <f t="shared" si="12"/>
        <v>Db</v>
      </c>
      <c r="E41" s="7">
        <f t="shared" ca="1" si="13"/>
        <v>0</v>
      </c>
      <c r="F41" s="54">
        <f t="shared" si="14"/>
        <v>0</v>
      </c>
      <c r="G41" s="142">
        <f t="shared" ca="1" si="15"/>
        <v>0</v>
      </c>
    </row>
    <row r="42" spans="1:15" x14ac:dyDescent="0.3">
      <c r="A42">
        <f t="shared" si="0"/>
        <v>1</v>
      </c>
      <c r="B42" s="359">
        <f>'Worksheet (6)'!B127</f>
        <v>50011</v>
      </c>
      <c r="C42" s="149" t="str">
        <f t="shared" si="11"/>
        <v>Beban Bunga</v>
      </c>
      <c r="D42" s="118" t="str">
        <f t="shared" si="12"/>
        <v>Db</v>
      </c>
      <c r="E42" s="7">
        <f t="shared" ca="1" si="13"/>
        <v>0</v>
      </c>
      <c r="F42" s="54">
        <f t="shared" si="14"/>
        <v>0</v>
      </c>
      <c r="G42" s="142">
        <f t="shared" ca="1" si="15"/>
        <v>0</v>
      </c>
    </row>
    <row r="43" spans="1:15" x14ac:dyDescent="0.3">
      <c r="A43">
        <f t="shared" si="0"/>
        <v>1</v>
      </c>
      <c r="B43" s="359">
        <f>'Worksheet (6)'!B128</f>
        <v>50012</v>
      </c>
      <c r="C43" s="149" t="str">
        <f t="shared" si="11"/>
        <v>Beban Listrik Dan Telepon</v>
      </c>
      <c r="D43" s="118" t="str">
        <f t="shared" si="12"/>
        <v>Db</v>
      </c>
      <c r="E43" s="7">
        <f t="shared" ca="1" si="13"/>
        <v>0</v>
      </c>
      <c r="F43" s="54">
        <f t="shared" si="14"/>
        <v>0</v>
      </c>
      <c r="G43" s="142">
        <f t="shared" ca="1" si="15"/>
        <v>0</v>
      </c>
    </row>
    <row r="44" spans="1:15" x14ac:dyDescent="0.3">
      <c r="A44">
        <f t="shared" si="0"/>
        <v>1</v>
      </c>
      <c r="B44" s="359">
        <f>'Worksheet (6)'!B129</f>
        <v>50013</v>
      </c>
      <c r="C44" s="149" t="str">
        <f t="shared" si="11"/>
        <v>Beban Peyusutan Mesin</v>
      </c>
      <c r="D44" s="118" t="str">
        <f t="shared" si="12"/>
        <v>Db</v>
      </c>
      <c r="E44" s="7">
        <f t="shared" ca="1" si="13"/>
        <v>0</v>
      </c>
      <c r="F44" s="54">
        <f t="shared" si="14"/>
        <v>0</v>
      </c>
      <c r="G44" s="142">
        <f t="shared" ca="1" si="15"/>
        <v>0</v>
      </c>
    </row>
    <row r="45" spans="1:15" x14ac:dyDescent="0.3">
      <c r="A45">
        <f t="shared" si="0"/>
        <v>1</v>
      </c>
      <c r="B45" s="359">
        <f>'Worksheet (6)'!B130</f>
        <v>50014</v>
      </c>
      <c r="C45" s="149" t="str">
        <f t="shared" si="11"/>
        <v>Beban Lain-</v>
      </c>
      <c r="D45" s="118" t="str">
        <f t="shared" si="12"/>
        <v>Db</v>
      </c>
      <c r="E45" s="7">
        <f t="shared" ca="1" si="13"/>
        <v>0</v>
      </c>
      <c r="F45" s="54">
        <f t="shared" si="14"/>
        <v>0</v>
      </c>
      <c r="G45" s="142">
        <f t="shared" ca="1" si="15"/>
        <v>0</v>
      </c>
    </row>
    <row r="46" spans="1:15" x14ac:dyDescent="0.3">
      <c r="A46">
        <f t="shared" si="0"/>
        <v>1</v>
      </c>
      <c r="B46" s="359">
        <f>'Worksheet (6)'!B131</f>
        <v>50015</v>
      </c>
      <c r="C46" s="149" t="str">
        <f t="shared" si="11"/>
        <v xml:space="preserve">Beban Penyusutan Kendaraan </v>
      </c>
      <c r="D46" s="118" t="str">
        <f t="shared" si="12"/>
        <v>Db</v>
      </c>
      <c r="E46" s="7">
        <f t="shared" ca="1" si="13"/>
        <v>0</v>
      </c>
      <c r="F46" s="54">
        <f t="shared" si="14"/>
        <v>0</v>
      </c>
      <c r="G46" s="142">
        <f t="shared" ca="1" si="15"/>
        <v>0</v>
      </c>
      <c r="L46" s="361"/>
      <c r="M46" s="361"/>
      <c r="N46" s="361"/>
      <c r="O46" s="361"/>
    </row>
    <row r="47" spans="1:15" x14ac:dyDescent="0.3">
      <c r="A47">
        <f t="shared" si="0"/>
        <v>1</v>
      </c>
      <c r="B47" s="359">
        <f>'Worksheet (6)'!B132</f>
        <v>50016</v>
      </c>
      <c r="C47" s="149" t="str">
        <f t="shared" si="11"/>
        <v>Potongan Pembelian</v>
      </c>
      <c r="D47" s="118" t="str">
        <f t="shared" si="12"/>
        <v>Db</v>
      </c>
      <c r="E47" s="7">
        <f t="shared" ca="1" si="13"/>
        <v>0</v>
      </c>
      <c r="F47" s="54">
        <f t="shared" si="14"/>
        <v>0</v>
      </c>
      <c r="G47" s="142">
        <f t="shared" ca="1" si="15"/>
        <v>0</v>
      </c>
      <c r="L47" s="361"/>
      <c r="M47" s="361"/>
      <c r="N47" s="361"/>
      <c r="O47" s="361"/>
    </row>
    <row r="48" spans="1:15" x14ac:dyDescent="0.3">
      <c r="A48">
        <f t="shared" si="0"/>
        <v>1</v>
      </c>
      <c r="B48" s="359">
        <f>'Worksheet (6)'!B133</f>
        <v>50017</v>
      </c>
      <c r="C48" s="149" t="str">
        <f t="shared" si="11"/>
        <v>Beban Penjualan</v>
      </c>
      <c r="D48" s="118" t="str">
        <f t="shared" si="12"/>
        <v>Db</v>
      </c>
      <c r="E48" s="7">
        <f t="shared" ca="1" si="13"/>
        <v>0</v>
      </c>
      <c r="F48" s="54">
        <f t="shared" si="14"/>
        <v>0</v>
      </c>
      <c r="G48" s="142">
        <f t="shared" ca="1" si="15"/>
        <v>0</v>
      </c>
    </row>
    <row r="49" spans="1:7" x14ac:dyDescent="0.3">
      <c r="A49">
        <f t="shared" si="0"/>
        <v>1</v>
      </c>
      <c r="B49" s="359">
        <f>'Worksheet (6)'!B134</f>
        <v>50018</v>
      </c>
      <c r="C49" s="149" t="str">
        <f t="shared" si="11"/>
        <v xml:space="preserve">Pajak Penghasilan </v>
      </c>
      <c r="D49" s="118" t="str">
        <f t="shared" si="12"/>
        <v>Db</v>
      </c>
      <c r="E49" s="7">
        <f t="shared" ca="1" si="13"/>
        <v>0</v>
      </c>
      <c r="F49" s="54">
        <f t="shared" si="14"/>
        <v>0</v>
      </c>
      <c r="G49" s="142">
        <f t="shared" ca="1" si="15"/>
        <v>0</v>
      </c>
    </row>
    <row r="50" spans="1:7" x14ac:dyDescent="0.3">
      <c r="A50">
        <f t="shared" si="0"/>
        <v>1</v>
      </c>
      <c r="B50" s="359">
        <f>'Worksheet (6)'!B135</f>
        <v>50019</v>
      </c>
      <c r="C50" s="149" t="str">
        <f t="shared" si="11"/>
        <v>Beban Penyusutan Peralatan toko</v>
      </c>
      <c r="D50" s="1" t="str">
        <f t="shared" si="12"/>
        <v>Db</v>
      </c>
      <c r="E50" s="7">
        <f t="shared" ca="1" si="13"/>
        <v>0</v>
      </c>
      <c r="F50" s="54">
        <f t="shared" si="14"/>
        <v>0</v>
      </c>
      <c r="G50" s="142">
        <f t="shared" ca="1" si="15"/>
        <v>0</v>
      </c>
    </row>
    <row r="51" spans="1:7" x14ac:dyDescent="0.3">
      <c r="A51">
        <f t="shared" si="0"/>
        <v>1</v>
      </c>
      <c r="B51" s="359">
        <f>'Worksheet (6)'!B136</f>
        <v>50020</v>
      </c>
      <c r="C51" s="149" t="str">
        <f t="shared" si="11"/>
        <v>Beban service</v>
      </c>
      <c r="D51" s="150" t="str">
        <f t="shared" si="12"/>
        <v>Db</v>
      </c>
      <c r="E51" s="13">
        <f t="shared" ca="1" si="13"/>
        <v>0</v>
      </c>
      <c r="F51" s="14">
        <f t="shared" si="14"/>
        <v>0</v>
      </c>
      <c r="G51" s="142">
        <f t="shared" ca="1" si="15"/>
        <v>0</v>
      </c>
    </row>
    <row r="52" spans="1:7" x14ac:dyDescent="0.3">
      <c r="A52">
        <f t="shared" si="0"/>
        <v>1</v>
      </c>
      <c r="B52" s="359">
        <f>'Worksheet (6)'!B137</f>
        <v>50021</v>
      </c>
      <c r="C52" s="149" t="str">
        <f t="shared" si="11"/>
        <v xml:space="preserve">Beban Akibat Bencana Alam </v>
      </c>
      <c r="D52" s="332" t="str">
        <f t="shared" si="12"/>
        <v>Db</v>
      </c>
      <c r="E52" s="19">
        <f t="shared" ca="1" si="13"/>
        <v>0</v>
      </c>
      <c r="F52" s="55">
        <f t="shared" si="14"/>
        <v>0</v>
      </c>
      <c r="G52" s="143">
        <f t="shared" ca="1" si="15"/>
        <v>0</v>
      </c>
    </row>
    <row r="53" spans="1:7" x14ac:dyDescent="0.3">
      <c r="A53">
        <f t="shared" si="0"/>
        <v>1</v>
      </c>
      <c r="B53" s="359">
        <f>'Worksheet (6)'!B138</f>
        <v>50022</v>
      </c>
      <c r="C53" s="360" t="str">
        <f t="shared" ref="C53:C54" si="16">VLOOKUP(B53,neracalajur,2,0)</f>
        <v>Beban Administrasi</v>
      </c>
      <c r="D53" s="1" t="str">
        <f t="shared" ref="D53:D54" si="17">VLOOKUP(B53,neracalajur,3,0)</f>
        <v>Db</v>
      </c>
      <c r="E53" s="7">
        <f t="shared" ref="E53:E54" ca="1" si="18">VLOOKUP(B53,neracalajur,15,0)</f>
        <v>0</v>
      </c>
      <c r="F53" s="54">
        <f t="shared" ref="F53:F54" si="19">VLOOKUP(B53,neracalajur,16,0)</f>
        <v>0</v>
      </c>
      <c r="G53" s="142">
        <f t="shared" ref="G53:G54" ca="1" si="20">IF(D53="Kr",F53-E53,E53-F53)</f>
        <v>0</v>
      </c>
    </row>
    <row r="54" spans="1:7" hidden="1" x14ac:dyDescent="0.3">
      <c r="A54">
        <f t="shared" si="0"/>
        <v>0</v>
      </c>
      <c r="B54" s="359">
        <f>'Worksheet (6)'!B139</f>
        <v>50023</v>
      </c>
      <c r="C54" s="360">
        <f t="shared" si="16"/>
        <v>0</v>
      </c>
      <c r="D54" s="1" t="str">
        <f t="shared" si="17"/>
        <v>Db</v>
      </c>
      <c r="E54" s="7">
        <f t="shared" si="18"/>
        <v>0</v>
      </c>
      <c r="F54" s="54">
        <f t="shared" si="19"/>
        <v>0</v>
      </c>
      <c r="G54" s="142">
        <f t="shared" si="20"/>
        <v>0</v>
      </c>
    </row>
    <row r="55" spans="1:7" hidden="1" x14ac:dyDescent="0.3">
      <c r="A55">
        <f t="shared" si="0"/>
        <v>0</v>
      </c>
      <c r="B55" s="359">
        <f>'Worksheet (6)'!B140</f>
        <v>50024</v>
      </c>
      <c r="C55" s="360">
        <f t="shared" ref="C55:C61" si="21">VLOOKUP(B55,neracalajur,2,0)</f>
        <v>0</v>
      </c>
      <c r="D55" s="1" t="str">
        <f t="shared" ref="D55:D61" si="22">VLOOKUP(B55,neracalajur,3,0)</f>
        <v>Db</v>
      </c>
      <c r="E55" s="7">
        <f t="shared" ref="E55:E61" si="23">VLOOKUP(B55,neracalajur,15,0)</f>
        <v>0</v>
      </c>
      <c r="F55" s="54">
        <f t="shared" ref="F55:F61" si="24">VLOOKUP(B55,neracalajur,16,0)</f>
        <v>0</v>
      </c>
      <c r="G55" s="142">
        <f t="shared" ref="G55:G61" si="25">IF(D55="Kr",F55-E55,E55-F55)</f>
        <v>0</v>
      </c>
    </row>
    <row r="56" spans="1:7" hidden="1" x14ac:dyDescent="0.3">
      <c r="A56">
        <f t="shared" si="0"/>
        <v>0</v>
      </c>
      <c r="B56" s="359">
        <f>'Worksheet (6)'!B141</f>
        <v>50025</v>
      </c>
      <c r="C56" s="360">
        <f t="shared" si="21"/>
        <v>0</v>
      </c>
      <c r="D56" s="1" t="str">
        <f t="shared" si="22"/>
        <v>Db</v>
      </c>
      <c r="E56" s="7">
        <f t="shared" si="23"/>
        <v>0</v>
      </c>
      <c r="F56" s="54">
        <f t="shared" si="24"/>
        <v>0</v>
      </c>
      <c r="G56" s="142">
        <f t="shared" si="25"/>
        <v>0</v>
      </c>
    </row>
    <row r="57" spans="1:7" hidden="1" x14ac:dyDescent="0.3">
      <c r="A57">
        <f t="shared" si="0"/>
        <v>0</v>
      </c>
      <c r="B57" s="359">
        <f>'Worksheet (6)'!B142</f>
        <v>50026</v>
      </c>
      <c r="C57" s="360">
        <f t="shared" si="21"/>
        <v>0</v>
      </c>
      <c r="D57" s="1" t="str">
        <f t="shared" si="22"/>
        <v>Db</v>
      </c>
      <c r="E57" s="7">
        <f t="shared" si="23"/>
        <v>0</v>
      </c>
      <c r="F57" s="54">
        <f t="shared" si="24"/>
        <v>0</v>
      </c>
      <c r="G57" s="142">
        <f t="shared" si="25"/>
        <v>0</v>
      </c>
    </row>
    <row r="58" spans="1:7" hidden="1" x14ac:dyDescent="0.3">
      <c r="A58">
        <f t="shared" si="0"/>
        <v>0</v>
      </c>
      <c r="B58" s="359">
        <f>'Worksheet (6)'!B143</f>
        <v>50027</v>
      </c>
      <c r="C58" s="360">
        <f t="shared" si="21"/>
        <v>0</v>
      </c>
      <c r="D58" s="1" t="str">
        <f t="shared" si="22"/>
        <v>Db</v>
      </c>
      <c r="E58" s="7">
        <f t="shared" si="23"/>
        <v>0</v>
      </c>
      <c r="F58" s="54">
        <f t="shared" si="24"/>
        <v>0</v>
      </c>
      <c r="G58" s="142">
        <f t="shared" si="25"/>
        <v>0</v>
      </c>
    </row>
    <row r="59" spans="1:7" hidden="1" x14ac:dyDescent="0.3">
      <c r="A59">
        <f t="shared" si="0"/>
        <v>0</v>
      </c>
      <c r="B59" s="359">
        <f>'Worksheet (6)'!B144</f>
        <v>50028</v>
      </c>
      <c r="C59" s="360">
        <f t="shared" si="21"/>
        <v>0</v>
      </c>
      <c r="D59" s="1" t="str">
        <f t="shared" si="22"/>
        <v>Db</v>
      </c>
      <c r="E59" s="7">
        <f t="shared" si="23"/>
        <v>0</v>
      </c>
      <c r="F59" s="54">
        <f t="shared" si="24"/>
        <v>0</v>
      </c>
      <c r="G59" s="142">
        <f t="shared" si="25"/>
        <v>0</v>
      </c>
    </row>
    <row r="60" spans="1:7" hidden="1" x14ac:dyDescent="0.3">
      <c r="A60">
        <f t="shared" si="0"/>
        <v>0</v>
      </c>
      <c r="B60" s="359">
        <f>'Worksheet (6)'!B145</f>
        <v>50029</v>
      </c>
      <c r="C60" s="360">
        <f t="shared" si="21"/>
        <v>0</v>
      </c>
      <c r="D60" s="1" t="str">
        <f t="shared" si="22"/>
        <v>Db</v>
      </c>
      <c r="E60" s="7">
        <f t="shared" si="23"/>
        <v>0</v>
      </c>
      <c r="F60" s="54">
        <f t="shared" si="24"/>
        <v>0</v>
      </c>
      <c r="G60" s="142">
        <f t="shared" si="25"/>
        <v>0</v>
      </c>
    </row>
    <row r="61" spans="1:7" ht="15" hidden="1" thickBot="1" x14ac:dyDescent="0.35">
      <c r="A61">
        <f t="shared" si="0"/>
        <v>0</v>
      </c>
      <c r="B61" s="359">
        <f>'Worksheet (6)'!B146</f>
        <v>50030</v>
      </c>
      <c r="C61" s="360">
        <f t="shared" si="21"/>
        <v>0</v>
      </c>
      <c r="D61" s="1" t="str">
        <f t="shared" si="22"/>
        <v>Db</v>
      </c>
      <c r="E61" s="7">
        <f t="shared" si="23"/>
        <v>0</v>
      </c>
      <c r="F61" s="54">
        <f t="shared" si="24"/>
        <v>0</v>
      </c>
      <c r="G61" s="146">
        <f t="shared" si="25"/>
        <v>0</v>
      </c>
    </row>
    <row r="62" spans="1:7" ht="15" thickBot="1" x14ac:dyDescent="0.35">
      <c r="B62" s="132"/>
      <c r="C62" s="133" t="s">
        <v>118</v>
      </c>
      <c r="D62" s="31" t="s">
        <v>61</v>
      </c>
      <c r="E62" s="10">
        <f ca="1">SUM(E31:E52)</f>
        <v>510000</v>
      </c>
      <c r="F62" s="10">
        <f>SUM(F31:F49)</f>
        <v>0</v>
      </c>
      <c r="G62" s="134">
        <f ca="1">E62-F62</f>
        <v>510000</v>
      </c>
    </row>
    <row r="63" spans="1:7" ht="15" thickBot="1" x14ac:dyDescent="0.35">
      <c r="B63" s="260" t="str">
        <f ca="1">IF('Worksheet (6)'!$P$148="Rugi","Rugi Bersih Keseluruhan","Laba bersih Keseluruhan")</f>
        <v>Laba bersih Keseluruhan</v>
      </c>
      <c r="C63" s="261"/>
      <c r="D63" s="262"/>
      <c r="E63" s="263" t="s">
        <v>61</v>
      </c>
      <c r="F63" s="264"/>
      <c r="G63" s="51">
        <f ca="1">IF(G29&gt;G62,G29-G62,G62-G29)</f>
        <v>490000</v>
      </c>
    </row>
  </sheetData>
  <autoFilter ref="A6:A63" xr:uid="{AF07A0AF-AEBF-48F8-A848-37E90E215C5B}">
    <filterColumn colId="0">
      <filters blank="1">
        <filter val="1"/>
      </filters>
    </filterColumn>
  </autoFilter>
  <mergeCells count="7">
    <mergeCell ref="B63:D63"/>
    <mergeCell ref="E63:F63"/>
    <mergeCell ref="B2:G2"/>
    <mergeCell ref="B3:G3"/>
    <mergeCell ref="B4:G4"/>
    <mergeCell ref="B5:G5"/>
    <mergeCell ref="B30:G3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4853-EDC3-4EC1-B3E6-5D9F04B35BCA}">
  <dimension ref="B1:G28"/>
  <sheetViews>
    <sheetView workbookViewId="0">
      <selection activeCell="I26" sqref="I26"/>
    </sheetView>
  </sheetViews>
  <sheetFormatPr defaultRowHeight="14.4" x14ac:dyDescent="0.3"/>
  <cols>
    <col min="2" max="2" width="5.77734375" customWidth="1"/>
    <col min="3" max="3" width="18.77734375" customWidth="1"/>
    <col min="4" max="4" width="14.6640625" customWidth="1"/>
    <col min="5" max="5" width="16" customWidth="1"/>
    <col min="6" max="7" width="14.6640625" customWidth="1"/>
    <col min="9" max="9" width="14.5546875" customWidth="1"/>
    <col min="10" max="10" width="15" customWidth="1"/>
  </cols>
  <sheetData>
    <row r="1" spans="2:7" ht="15" thickBot="1" x14ac:dyDescent="0.35"/>
    <row r="2" spans="2:7" x14ac:dyDescent="0.3">
      <c r="B2" s="236" t="str">
        <f>'Worksheet (6)'!B2:S2</f>
        <v>CV Max Picture</v>
      </c>
      <c r="C2" s="237"/>
      <c r="D2" s="237"/>
      <c r="E2" s="237"/>
      <c r="F2" s="237"/>
      <c r="G2" s="238"/>
    </row>
    <row r="3" spans="2:7" x14ac:dyDescent="0.3">
      <c r="B3" s="239" t="s">
        <v>130</v>
      </c>
      <c r="C3" s="215"/>
      <c r="D3" s="215"/>
      <c r="E3" s="215"/>
      <c r="F3" s="215"/>
      <c r="G3" s="240"/>
    </row>
    <row r="4" spans="2:7" ht="15" thickBot="1" x14ac:dyDescent="0.35">
      <c r="B4" s="241" t="str">
        <f>'Worksheet (6)'!B4:S4</f>
        <v>Periode Desember 2021</v>
      </c>
      <c r="C4" s="242"/>
      <c r="D4" s="242"/>
      <c r="E4" s="242"/>
      <c r="F4" s="242"/>
      <c r="G4" s="243"/>
    </row>
    <row r="5" spans="2:7" ht="15" thickBot="1" x14ac:dyDescent="0.35">
      <c r="B5" s="257" t="str">
        <f>'Worksheet (6)'!B5:S5</f>
        <v>~ Dilarang keras merubah (Apapun) yang bukan menjadi kepentingan Anda !  ~</v>
      </c>
      <c r="C5" s="258"/>
      <c r="D5" s="258"/>
      <c r="E5" s="258"/>
      <c r="F5" s="258"/>
      <c r="G5" s="259"/>
    </row>
    <row r="6" spans="2:7" ht="15" thickBot="1" x14ac:dyDescent="0.35">
      <c r="B6" s="269" t="s">
        <v>15</v>
      </c>
      <c r="C6" s="269" t="s">
        <v>13</v>
      </c>
      <c r="D6" s="271" t="s">
        <v>21</v>
      </c>
      <c r="E6" s="272"/>
      <c r="F6" s="267" t="s">
        <v>121</v>
      </c>
      <c r="G6" s="268"/>
    </row>
    <row r="7" spans="2:7" ht="15" thickBot="1" x14ac:dyDescent="0.35">
      <c r="B7" s="270"/>
      <c r="C7" s="270"/>
      <c r="D7" s="273"/>
      <c r="E7" s="274"/>
      <c r="F7" s="162" t="s">
        <v>125</v>
      </c>
      <c r="G7" s="162" t="s">
        <v>124</v>
      </c>
    </row>
    <row r="8" spans="2:7" x14ac:dyDescent="0.3">
      <c r="B8" s="159">
        <v>30000</v>
      </c>
      <c r="C8" s="115" t="str">
        <f>VLOOKUP(B8,neracalajur,2,0)</f>
        <v>Modal/Ekuitas</v>
      </c>
      <c r="D8" s="167">
        <f>VLOOKUP(B8,neracalajur,13,0)</f>
        <v>0</v>
      </c>
      <c r="E8" s="170">
        <f ca="1">VLOOKUP(B8,neracalajur,14,0)</f>
        <v>100000</v>
      </c>
      <c r="F8" s="167">
        <f ca="1">E8</f>
        <v>100000</v>
      </c>
      <c r="G8" s="170"/>
    </row>
    <row r="9" spans="2:7" x14ac:dyDescent="0.3">
      <c r="B9" s="160"/>
      <c r="C9" s="116"/>
      <c r="D9" s="168"/>
      <c r="E9" s="166"/>
      <c r="F9" s="168"/>
      <c r="G9" s="166"/>
    </row>
    <row r="10" spans="2:7" x14ac:dyDescent="0.3">
      <c r="B10" s="160" t="str">
        <f ca="1">IF(C10="Laba","(+)","(-)")</f>
        <v>(+)</v>
      </c>
      <c r="C10" s="116" t="str">
        <f ca="1">'Worksheet (6)'!$P$148</f>
        <v>Laba</v>
      </c>
      <c r="D10" s="168" t="str">
        <f ca="1">IF($C$10="Rugi",'Worksheet (6)'!R148,"")</f>
        <v/>
      </c>
      <c r="E10" s="168">
        <f ca="1">IF($C$10="Laba",'Worksheet (6)'!S148,"")</f>
        <v>490000</v>
      </c>
      <c r="F10" s="168">
        <f ca="1">IF($C$10="Laba",E10,"")</f>
        <v>490000</v>
      </c>
      <c r="G10" s="166" t="str">
        <f ca="1">IF($C$10="Rugi",D10,"")</f>
        <v/>
      </c>
    </row>
    <row r="11" spans="2:7" x14ac:dyDescent="0.3">
      <c r="B11" s="160"/>
      <c r="C11" s="116"/>
      <c r="D11" s="168"/>
      <c r="E11" s="166"/>
      <c r="F11" s="168"/>
      <c r="G11" s="166"/>
    </row>
    <row r="12" spans="2:7" ht="15" thickBot="1" x14ac:dyDescent="0.35">
      <c r="B12" s="161">
        <v>30001</v>
      </c>
      <c r="C12" s="117" t="str">
        <f>VLOOKUP(B12,neracalajur,2,0)</f>
        <v>Prive</v>
      </c>
      <c r="D12" s="169">
        <f ca="1">VLOOKUP(B12,neracalajur,13,0)</f>
        <v>0</v>
      </c>
      <c r="E12" s="171">
        <f>VLOOKUP(B12,neracalajur,14,0)</f>
        <v>0</v>
      </c>
      <c r="F12" s="169"/>
      <c r="G12" s="171">
        <f ca="1">D12</f>
        <v>0</v>
      </c>
    </row>
    <row r="13" spans="2:7" ht="15" thickBot="1" x14ac:dyDescent="0.35">
      <c r="D13" s="60"/>
      <c r="E13" s="60"/>
      <c r="F13" s="172">
        <f ca="1">SUM(F8:F12)</f>
        <v>590000</v>
      </c>
      <c r="G13" s="173">
        <f ca="1">SUM(G8:G12)</f>
        <v>0</v>
      </c>
    </row>
    <row r="14" spans="2:7" ht="15" thickBot="1" x14ac:dyDescent="0.35">
      <c r="D14" s="60"/>
      <c r="E14" s="60"/>
      <c r="F14" s="75">
        <f ca="1">IF(G13&gt;F13,G13-F13,0)</f>
        <v>0</v>
      </c>
      <c r="G14" s="165">
        <f ca="1">IF(F13&gt;G13,F13-G13,0)</f>
        <v>590000</v>
      </c>
    </row>
    <row r="15" spans="2:7" ht="15" thickBot="1" x14ac:dyDescent="0.35">
      <c r="D15" s="60"/>
      <c r="E15" s="60"/>
      <c r="F15" s="265" t="str">
        <f ca="1">IF('Worksheet (6)'!$P$148="Laba","Surplus (+)","Devisit (-)")</f>
        <v>Surplus (+)</v>
      </c>
      <c r="G15" s="266"/>
    </row>
    <row r="16" spans="2:7" x14ac:dyDescent="0.3">
      <c r="D16" s="60"/>
      <c r="E16" s="60"/>
      <c r="F16" s="60"/>
      <c r="G16" s="60"/>
    </row>
    <row r="17" spans="4:7" x14ac:dyDescent="0.3">
      <c r="D17" s="60"/>
      <c r="E17" s="60"/>
      <c r="F17" s="60"/>
      <c r="G17" s="60"/>
    </row>
    <row r="27" spans="4:7" x14ac:dyDescent="0.3">
      <c r="D27" s="60"/>
      <c r="E27" s="60"/>
    </row>
    <row r="28" spans="4:7" x14ac:dyDescent="0.3">
      <c r="D28" s="60"/>
      <c r="E28" s="60"/>
    </row>
  </sheetData>
  <mergeCells count="9">
    <mergeCell ref="F15:G15"/>
    <mergeCell ref="B2:G2"/>
    <mergeCell ref="B3:G3"/>
    <mergeCell ref="B4:G4"/>
    <mergeCell ref="B5:G5"/>
    <mergeCell ref="F6:G6"/>
    <mergeCell ref="B6:B7"/>
    <mergeCell ref="C6:C7"/>
    <mergeCell ref="D6:E7"/>
  </mergeCells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equal" id="{8B5546BE-3669-466F-A45C-7BB87BDBB88B}">
            <xm:f>'Control Panel (x)'!$B$4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13" operator="equal" id="{2C63DC33-EFD4-4B97-BB95-EDBA4261DAB6}">
            <xm:f>'Control Panel (x)'!$B$3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79B6-05E2-4C46-87BF-91A6E517DBE9}">
  <dimension ref="B1:E10"/>
  <sheetViews>
    <sheetView workbookViewId="0">
      <selection activeCell="H11" sqref="H11"/>
    </sheetView>
  </sheetViews>
  <sheetFormatPr defaultRowHeight="14.4" x14ac:dyDescent="0.3"/>
  <cols>
    <col min="2" max="2" width="13.21875" customWidth="1"/>
    <col min="3" max="3" width="22.109375" customWidth="1"/>
    <col min="4" max="5" width="20.44140625" customWidth="1"/>
  </cols>
  <sheetData>
    <row r="1" spans="2:5" ht="15" thickBot="1" x14ac:dyDescent="0.35"/>
    <row r="2" spans="2:5" x14ac:dyDescent="0.3">
      <c r="B2" s="216" t="str">
        <f>'Changes Capital Statement (9)'!B2</f>
        <v>CV Max Picture</v>
      </c>
      <c r="C2" s="217"/>
      <c r="D2" s="217"/>
      <c r="E2" s="218"/>
    </row>
    <row r="3" spans="2:5" x14ac:dyDescent="0.3">
      <c r="B3" s="219" t="s">
        <v>184</v>
      </c>
      <c r="C3" s="220"/>
      <c r="D3" s="220"/>
      <c r="E3" s="221"/>
    </row>
    <row r="4" spans="2:5" ht="15" thickBot="1" x14ac:dyDescent="0.35">
      <c r="B4" s="222" t="str">
        <f>'Changes Capital Statement (9)'!B4</f>
        <v>Periode Desember 2021</v>
      </c>
      <c r="C4" s="223"/>
      <c r="D4" s="223"/>
      <c r="E4" s="224"/>
    </row>
    <row r="5" spans="2:5" ht="15" thickBot="1" x14ac:dyDescent="0.35">
      <c r="B5" s="225" t="str">
        <f>'Changes Capital Statement (9)'!B5</f>
        <v>~ Dilarang keras merubah (Apapun) yang bukan menjadi kepentingan Anda !  ~</v>
      </c>
      <c r="C5" s="226"/>
      <c r="D5" s="226"/>
      <c r="E5" s="227"/>
    </row>
    <row r="6" spans="2:5" ht="15" thickBot="1" x14ac:dyDescent="0.35">
      <c r="B6" s="269" t="s">
        <v>15</v>
      </c>
      <c r="C6" s="269" t="s">
        <v>13</v>
      </c>
      <c r="D6" s="267" t="s">
        <v>121</v>
      </c>
      <c r="E6" s="268"/>
    </row>
    <row r="7" spans="2:5" ht="15" thickBot="1" x14ac:dyDescent="0.35">
      <c r="B7" s="270"/>
      <c r="C7" s="270"/>
      <c r="D7" s="162" t="s">
        <v>125</v>
      </c>
      <c r="E7" s="162" t="s">
        <v>124</v>
      </c>
    </row>
    <row r="8" spans="2:5" ht="15" thickBot="1" x14ac:dyDescent="0.35">
      <c r="B8" s="159">
        <v>30000</v>
      </c>
      <c r="C8" s="115" t="str">
        <f>VLOOKUP(B8,neracalajur,2,0)</f>
        <v>Modal/Ekuitas</v>
      </c>
      <c r="D8" s="210">
        <f ca="1">'Changes Capital Statement (9)'!G14</f>
        <v>590000</v>
      </c>
      <c r="E8" s="75"/>
    </row>
    <row r="9" spans="2:5" ht="15" thickBot="1" x14ac:dyDescent="0.35">
      <c r="B9" s="161" t="s">
        <v>123</v>
      </c>
      <c r="C9" s="117" t="s">
        <v>122</v>
      </c>
      <c r="D9" s="173">
        <f ca="1">'Changes Capital Statement (9)'!F10</f>
        <v>490000</v>
      </c>
      <c r="E9" s="174" t="str">
        <f ca="1">'Changes Capital Statement (9)'!G10</f>
        <v/>
      </c>
    </row>
    <row r="10" spans="2:5" ht="15" thickBot="1" x14ac:dyDescent="0.35">
      <c r="D10" s="265" t="str">
        <f ca="1">IF('Worksheet (6)'!$P$148="Laba","Surplus (+)","Devisit (-)")</f>
        <v>Surplus (+)</v>
      </c>
      <c r="E10" s="275"/>
    </row>
  </sheetData>
  <mergeCells count="8">
    <mergeCell ref="D10:E10"/>
    <mergeCell ref="B2:E2"/>
    <mergeCell ref="B3:E3"/>
    <mergeCell ref="B4:E4"/>
    <mergeCell ref="B5:E5"/>
    <mergeCell ref="B6:B7"/>
    <mergeCell ref="C6:C7"/>
    <mergeCell ref="D6:E6"/>
  </mergeCells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4434F70C-6F91-4C5E-B3A2-500A5C295EF0}">
            <xm:f>'Control Panel (x)'!$B$4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ellIs" priority="2" operator="equal" id="{94E303E3-9074-46C2-B255-F0772C7CFAA1}">
            <xm:f>'Control Panel (x)'!$B$3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1E00-88AF-4170-AA3F-6671D79A92C9}">
  <dimension ref="B2:H44"/>
  <sheetViews>
    <sheetView topLeftCell="A19" workbookViewId="0">
      <selection activeCell="H44" sqref="H44"/>
    </sheetView>
  </sheetViews>
  <sheetFormatPr defaultRowHeight="14.4" x14ac:dyDescent="0.3"/>
  <cols>
    <col min="3" max="3" width="41.44140625" customWidth="1"/>
    <col min="4" max="4" width="5.21875" customWidth="1"/>
    <col min="5" max="5" width="15.33203125" customWidth="1"/>
    <col min="6" max="6" width="16.21875" customWidth="1"/>
    <col min="7" max="7" width="15.109375" customWidth="1"/>
    <col min="8" max="8" width="14.44140625" bestFit="1" customWidth="1"/>
    <col min="10" max="10" width="14.77734375" customWidth="1"/>
    <col min="11" max="11" width="10.6640625" customWidth="1"/>
  </cols>
  <sheetData>
    <row r="2" spans="2:8" x14ac:dyDescent="0.3">
      <c r="B2" s="44">
        <f>'Worksheet (6)'!B8</f>
        <v>10000</v>
      </c>
      <c r="C2" s="1" t="str">
        <f t="shared" ref="C2:C23" si="0">VLOOKUP(B2,neracalajur,2,0)</f>
        <v>Harta Lancar</v>
      </c>
      <c r="D2" s="1" t="str">
        <f t="shared" ref="D2:D23" si="1">VLOOKUP(B2,neracalajur,3,0)</f>
        <v>Db</v>
      </c>
      <c r="E2" s="119">
        <f t="shared" ref="E2:E23" ca="1" si="2">VLOOKUP(B2,neracalajur,17,0)</f>
        <v>0</v>
      </c>
      <c r="F2" s="119">
        <f t="shared" ref="F2:F23" si="3">VLOOKUP(B2,neracalajur,18,0)</f>
        <v>0</v>
      </c>
      <c r="G2" s="119"/>
      <c r="H2" s="119"/>
    </row>
    <row r="3" spans="2:8" x14ac:dyDescent="0.3">
      <c r="B3" s="44">
        <f>'Worksheet (6)'!B9</f>
        <v>10001</v>
      </c>
      <c r="C3" s="1" t="str">
        <f t="shared" si="0"/>
        <v>Kas</v>
      </c>
      <c r="D3" s="1" t="str">
        <f t="shared" si="1"/>
        <v>Db</v>
      </c>
      <c r="E3" s="119">
        <f t="shared" ca="1" si="2"/>
        <v>80000</v>
      </c>
      <c r="F3" s="119">
        <f t="shared" si="3"/>
        <v>0</v>
      </c>
      <c r="G3" s="119"/>
      <c r="H3" s="119"/>
    </row>
    <row r="4" spans="2:8" x14ac:dyDescent="0.3">
      <c r="B4" s="44">
        <f>'Worksheet (6)'!B10</f>
        <v>10002</v>
      </c>
      <c r="C4" s="1" t="str">
        <f t="shared" si="0"/>
        <v>Persediaan Barang Dagang</v>
      </c>
      <c r="D4" s="1" t="str">
        <f t="shared" si="1"/>
        <v>Db</v>
      </c>
      <c r="E4" s="119">
        <f t="shared" ca="1" si="2"/>
        <v>0</v>
      </c>
      <c r="F4" s="119">
        <f t="shared" si="3"/>
        <v>0</v>
      </c>
      <c r="G4" s="119"/>
      <c r="H4" s="119"/>
    </row>
    <row r="5" spans="2:8" x14ac:dyDescent="0.3">
      <c r="B5" s="44">
        <f>'Worksheet (6)'!B11</f>
        <v>10003</v>
      </c>
      <c r="C5" s="1" t="str">
        <f t="shared" si="0"/>
        <v>Piutang Usaha</v>
      </c>
      <c r="D5" s="1" t="str">
        <f t="shared" si="1"/>
        <v>Db</v>
      </c>
      <c r="E5" s="119">
        <f t="shared" ca="1" si="2"/>
        <v>500000</v>
      </c>
      <c r="F5" s="119">
        <f t="shared" si="3"/>
        <v>0</v>
      </c>
      <c r="G5" s="119"/>
      <c r="H5" s="119"/>
    </row>
    <row r="6" spans="2:8" x14ac:dyDescent="0.3">
      <c r="B6" s="44">
        <f>'Worksheet (6)'!B12</f>
        <v>10004</v>
      </c>
      <c r="C6" s="1" t="str">
        <f t="shared" si="0"/>
        <v>Piutang Pendapatan</v>
      </c>
      <c r="D6" s="1" t="str">
        <f t="shared" si="1"/>
        <v>Db</v>
      </c>
      <c r="E6" s="119">
        <f t="shared" ca="1" si="2"/>
        <v>0</v>
      </c>
      <c r="F6" s="119">
        <f t="shared" si="3"/>
        <v>0</v>
      </c>
      <c r="G6" s="119"/>
      <c r="H6" s="119"/>
    </row>
    <row r="7" spans="2:8" x14ac:dyDescent="0.3">
      <c r="B7" s="44">
        <f>'Worksheet (6)'!B13</f>
        <v>10005</v>
      </c>
      <c r="C7" s="1" t="str">
        <f t="shared" si="0"/>
        <v>Wesel Tagih</v>
      </c>
      <c r="D7" s="1" t="str">
        <f t="shared" si="1"/>
        <v>Db</v>
      </c>
      <c r="E7" s="119">
        <f t="shared" ca="1" si="2"/>
        <v>0</v>
      </c>
      <c r="F7" s="119">
        <f t="shared" si="3"/>
        <v>0</v>
      </c>
      <c r="G7" s="119"/>
      <c r="H7" s="119"/>
    </row>
    <row r="8" spans="2:8" x14ac:dyDescent="0.3">
      <c r="B8" s="44">
        <f>'Worksheet (6)'!B14</f>
        <v>10006</v>
      </c>
      <c r="C8" s="1" t="str">
        <f t="shared" si="0"/>
        <v>Perlengkapan Kantor</v>
      </c>
      <c r="D8" s="1" t="str">
        <f t="shared" si="1"/>
        <v>Db</v>
      </c>
      <c r="E8" s="119">
        <f t="shared" ca="1" si="2"/>
        <v>10000</v>
      </c>
      <c r="F8" s="119">
        <f t="shared" si="3"/>
        <v>0</v>
      </c>
      <c r="G8" s="119"/>
      <c r="H8" s="119"/>
    </row>
    <row r="9" spans="2:8" x14ac:dyDescent="0.3">
      <c r="B9" s="44">
        <f>'Worksheet (6)'!B15</f>
        <v>10007</v>
      </c>
      <c r="C9" s="1" t="str">
        <f t="shared" si="0"/>
        <v>Perlengkapan Toko</v>
      </c>
      <c r="D9" s="1" t="str">
        <f t="shared" si="1"/>
        <v>Db</v>
      </c>
      <c r="E9" s="119">
        <f t="shared" ca="1" si="2"/>
        <v>0</v>
      </c>
      <c r="F9" s="119">
        <f t="shared" si="3"/>
        <v>0</v>
      </c>
      <c r="G9" s="119"/>
      <c r="H9" s="119"/>
    </row>
    <row r="10" spans="2:8" x14ac:dyDescent="0.3">
      <c r="B10" s="44">
        <f>'Worksheet (6)'!B16</f>
        <v>10008</v>
      </c>
      <c r="C10" s="1" t="str">
        <f t="shared" si="0"/>
        <v>Iklan Dibayar Dimuka</v>
      </c>
      <c r="D10" s="1" t="str">
        <f t="shared" si="1"/>
        <v>Db</v>
      </c>
      <c r="E10" s="119">
        <f t="shared" ca="1" si="2"/>
        <v>0</v>
      </c>
      <c r="F10" s="119">
        <f t="shared" si="3"/>
        <v>0</v>
      </c>
      <c r="G10" s="119"/>
      <c r="H10" s="119"/>
    </row>
    <row r="11" spans="2:8" x14ac:dyDescent="0.3">
      <c r="B11" s="44">
        <f>'Worksheet (6)'!B17</f>
        <v>10009</v>
      </c>
      <c r="C11" s="1" t="str">
        <f t="shared" si="0"/>
        <v>Sewa Dibayar Dimuka</v>
      </c>
      <c r="D11" s="1" t="str">
        <f t="shared" si="1"/>
        <v>Db</v>
      </c>
      <c r="E11" s="119">
        <f t="shared" ca="1" si="2"/>
        <v>0</v>
      </c>
      <c r="F11" s="119">
        <f t="shared" si="3"/>
        <v>0</v>
      </c>
      <c r="G11" s="119"/>
      <c r="H11" s="119"/>
    </row>
    <row r="12" spans="2:8" x14ac:dyDescent="0.3">
      <c r="B12" s="44">
        <f>'Worksheet (6)'!B18</f>
        <v>10010</v>
      </c>
      <c r="C12" s="1" t="str">
        <f t="shared" si="0"/>
        <v>Asuransi Dibayar Dimuka</v>
      </c>
      <c r="D12" s="1" t="str">
        <f t="shared" si="1"/>
        <v>Db</v>
      </c>
      <c r="E12" s="119">
        <f t="shared" ca="1" si="2"/>
        <v>0</v>
      </c>
      <c r="F12" s="119">
        <f t="shared" si="3"/>
        <v>0</v>
      </c>
      <c r="G12" s="119"/>
      <c r="H12" s="119"/>
    </row>
    <row r="13" spans="2:8" x14ac:dyDescent="0.3">
      <c r="B13" s="44">
        <f>'Worksheet (6)'!B19</f>
        <v>10011</v>
      </c>
      <c r="C13" s="1">
        <f t="shared" si="0"/>
        <v>0</v>
      </c>
      <c r="D13" s="1" t="str">
        <f t="shared" si="1"/>
        <v>Db</v>
      </c>
      <c r="E13" s="119">
        <f t="shared" ca="1" si="2"/>
        <v>0</v>
      </c>
      <c r="F13" s="119">
        <f t="shared" si="3"/>
        <v>0</v>
      </c>
      <c r="G13" s="119"/>
      <c r="H13" s="119"/>
    </row>
    <row r="14" spans="2:8" x14ac:dyDescent="0.3">
      <c r="B14" s="44">
        <f>'Worksheet (6)'!B20</f>
        <v>10012</v>
      </c>
      <c r="C14" s="1">
        <f t="shared" si="0"/>
        <v>0</v>
      </c>
      <c r="D14" s="1" t="str">
        <f t="shared" si="1"/>
        <v>Db</v>
      </c>
      <c r="E14" s="119">
        <f t="shared" ca="1" si="2"/>
        <v>0</v>
      </c>
      <c r="F14" s="119">
        <f t="shared" si="3"/>
        <v>0</v>
      </c>
      <c r="G14" s="119"/>
      <c r="H14" s="119"/>
    </row>
    <row r="15" spans="2:8" x14ac:dyDescent="0.3">
      <c r="B15" s="44">
        <f>'Worksheet (6)'!B21</f>
        <v>10013</v>
      </c>
      <c r="C15" s="1">
        <f t="shared" si="0"/>
        <v>0</v>
      </c>
      <c r="D15" s="1" t="str">
        <f t="shared" si="1"/>
        <v>Db</v>
      </c>
      <c r="E15" s="119">
        <f t="shared" ca="1" si="2"/>
        <v>0</v>
      </c>
      <c r="F15" s="119">
        <f t="shared" si="3"/>
        <v>0</v>
      </c>
      <c r="G15" s="119"/>
      <c r="H15" s="119"/>
    </row>
    <row r="16" spans="2:8" x14ac:dyDescent="0.3">
      <c r="B16" s="44">
        <f>'Worksheet (6)'!B22</f>
        <v>10014</v>
      </c>
      <c r="C16" s="1">
        <f t="shared" si="0"/>
        <v>0</v>
      </c>
      <c r="D16" s="1" t="str">
        <f t="shared" si="1"/>
        <v>Db</v>
      </c>
      <c r="E16" s="119">
        <f t="shared" ca="1" si="2"/>
        <v>0</v>
      </c>
      <c r="F16" s="119">
        <f t="shared" si="3"/>
        <v>0</v>
      </c>
      <c r="G16" s="119"/>
      <c r="H16" s="119"/>
    </row>
    <row r="17" spans="2:8" x14ac:dyDescent="0.3">
      <c r="B17" s="44">
        <f>'Worksheet (6)'!B23</f>
        <v>10015</v>
      </c>
      <c r="C17" s="1">
        <f t="shared" si="0"/>
        <v>0</v>
      </c>
      <c r="D17" s="1" t="str">
        <f t="shared" si="1"/>
        <v>Db</v>
      </c>
      <c r="E17" s="119">
        <f t="shared" ca="1" si="2"/>
        <v>0</v>
      </c>
      <c r="F17" s="119">
        <f t="shared" si="3"/>
        <v>0</v>
      </c>
      <c r="G17" s="119"/>
      <c r="H17" s="119"/>
    </row>
    <row r="18" spans="2:8" x14ac:dyDescent="0.3">
      <c r="B18" s="44">
        <f>'Worksheet (6)'!B24</f>
        <v>10016</v>
      </c>
      <c r="C18" s="1">
        <f t="shared" si="0"/>
        <v>0</v>
      </c>
      <c r="D18" s="1" t="str">
        <f t="shared" si="1"/>
        <v>Db</v>
      </c>
      <c r="E18" s="119">
        <f t="shared" ca="1" si="2"/>
        <v>0</v>
      </c>
      <c r="F18" s="119">
        <f t="shared" si="3"/>
        <v>0</v>
      </c>
      <c r="G18" s="119"/>
      <c r="H18" s="119"/>
    </row>
    <row r="19" spans="2:8" x14ac:dyDescent="0.3">
      <c r="B19" s="44">
        <f>'Worksheet (6)'!B25</f>
        <v>10017</v>
      </c>
      <c r="C19" s="1">
        <f t="shared" si="0"/>
        <v>0</v>
      </c>
      <c r="D19" s="1" t="str">
        <f t="shared" si="1"/>
        <v>Db</v>
      </c>
      <c r="E19" s="119">
        <f t="shared" ca="1" si="2"/>
        <v>0</v>
      </c>
      <c r="F19" s="119">
        <f t="shared" si="3"/>
        <v>0</v>
      </c>
      <c r="G19" s="119"/>
      <c r="H19" s="119"/>
    </row>
    <row r="20" spans="2:8" x14ac:dyDescent="0.3">
      <c r="B20" s="44">
        <f>'Worksheet (6)'!B26</f>
        <v>10018</v>
      </c>
      <c r="C20" s="1">
        <f t="shared" si="0"/>
        <v>0</v>
      </c>
      <c r="D20" s="1" t="str">
        <f t="shared" si="1"/>
        <v>Db</v>
      </c>
      <c r="E20" s="119">
        <f t="shared" ca="1" si="2"/>
        <v>0</v>
      </c>
      <c r="F20" s="119">
        <f t="shared" si="3"/>
        <v>0</v>
      </c>
      <c r="G20" s="119"/>
      <c r="H20" s="119"/>
    </row>
    <row r="21" spans="2:8" x14ac:dyDescent="0.3">
      <c r="B21" s="44">
        <f>'Worksheet (6)'!B27</f>
        <v>10019</v>
      </c>
      <c r="C21" s="1">
        <f t="shared" si="0"/>
        <v>0</v>
      </c>
      <c r="D21" s="1" t="str">
        <f t="shared" si="1"/>
        <v>Db</v>
      </c>
      <c r="E21" s="119">
        <f t="shared" ca="1" si="2"/>
        <v>0</v>
      </c>
      <c r="F21" s="119">
        <f t="shared" si="3"/>
        <v>0</v>
      </c>
      <c r="G21" s="119"/>
      <c r="H21" s="119"/>
    </row>
    <row r="22" spans="2:8" x14ac:dyDescent="0.3">
      <c r="B22" s="44">
        <f>'Worksheet (6)'!B28</f>
        <v>10020</v>
      </c>
      <c r="C22" s="1">
        <f t="shared" si="0"/>
        <v>0</v>
      </c>
      <c r="D22" s="1" t="str">
        <f t="shared" si="1"/>
        <v>Db</v>
      </c>
      <c r="E22" s="119">
        <f t="shared" ca="1" si="2"/>
        <v>0</v>
      </c>
      <c r="F22" s="119">
        <f t="shared" si="3"/>
        <v>0</v>
      </c>
      <c r="G22" s="119"/>
      <c r="H22" s="119"/>
    </row>
    <row r="23" spans="2:8" x14ac:dyDescent="0.3">
      <c r="B23" s="44">
        <f>'Worksheet (6)'!B29</f>
        <v>11000</v>
      </c>
      <c r="C23" s="1" t="str">
        <f t="shared" si="0"/>
        <v>Harta tetap</v>
      </c>
      <c r="D23" s="1" t="str">
        <f t="shared" si="1"/>
        <v>Db</v>
      </c>
      <c r="E23" s="119">
        <f t="shared" ca="1" si="2"/>
        <v>0</v>
      </c>
      <c r="F23" s="119">
        <f t="shared" si="3"/>
        <v>0</v>
      </c>
      <c r="G23" s="119"/>
      <c r="H23" s="119"/>
    </row>
    <row r="24" spans="2:8" x14ac:dyDescent="0.3">
      <c r="B24" s="44"/>
      <c r="C24" s="1"/>
      <c r="D24" s="1"/>
      <c r="E24" s="1"/>
      <c r="F24" s="1"/>
      <c r="G24" s="163">
        <f ca="1">SUM(E2:E23)</f>
        <v>590000</v>
      </c>
      <c r="H24" s="163">
        <f>SUM(F2:F23)</f>
        <v>0</v>
      </c>
    </row>
    <row r="25" spans="2:8" x14ac:dyDescent="0.3">
      <c r="B25" s="44"/>
      <c r="C25" s="1"/>
      <c r="D25" s="1"/>
      <c r="E25" s="119"/>
      <c r="F25" s="119"/>
      <c r="G25" s="119">
        <f ca="1">G24-H24</f>
        <v>590000</v>
      </c>
      <c r="H25" s="119"/>
    </row>
    <row r="26" spans="2:8" x14ac:dyDescent="0.3">
      <c r="B26" s="44">
        <f>'Worksheet (6)'!B30</f>
        <v>11001</v>
      </c>
      <c r="C26" s="1" t="str">
        <f t="shared" ref="C26:C38" si="4">VLOOKUP(B26,neracalajur,2,0)</f>
        <v>Peralatan Kantor</v>
      </c>
      <c r="D26" s="1" t="str">
        <f t="shared" ref="D26:D38" si="5">VLOOKUP(B26,neracalajur,3,0)</f>
        <v>Db</v>
      </c>
      <c r="E26" s="119">
        <f t="shared" ref="E26:E38" ca="1" si="6">VLOOKUP(B26,neracalajur,17,0)</f>
        <v>0</v>
      </c>
      <c r="F26" s="119">
        <f t="shared" ref="F26:F38" si="7">VLOOKUP(B26,neracalajur,18,0)</f>
        <v>0</v>
      </c>
      <c r="G26" s="119"/>
      <c r="H26" s="119"/>
    </row>
    <row r="27" spans="2:8" x14ac:dyDescent="0.3">
      <c r="B27" s="44">
        <f>'Worksheet (6)'!B31</f>
        <v>11002</v>
      </c>
      <c r="C27" s="1" t="str">
        <f t="shared" si="4"/>
        <v>Akumulasi Penyusutan Peralatan Kantor</v>
      </c>
      <c r="D27" s="1" t="str">
        <f t="shared" si="5"/>
        <v>Kr</v>
      </c>
      <c r="E27" s="119">
        <f t="shared" si="6"/>
        <v>0</v>
      </c>
      <c r="F27" s="119">
        <f t="shared" ca="1" si="7"/>
        <v>0</v>
      </c>
      <c r="G27" s="119"/>
      <c r="H27" s="119"/>
    </row>
    <row r="28" spans="2:8" x14ac:dyDescent="0.3">
      <c r="B28" s="44">
        <f>'Worksheet (6)'!B32</f>
        <v>11003</v>
      </c>
      <c r="C28" s="1" t="str">
        <f t="shared" si="4"/>
        <v>Kendaraan</v>
      </c>
      <c r="D28" s="1" t="str">
        <f t="shared" si="5"/>
        <v>Db</v>
      </c>
      <c r="E28" s="119">
        <f t="shared" ca="1" si="6"/>
        <v>0</v>
      </c>
      <c r="F28" s="119">
        <f t="shared" si="7"/>
        <v>0</v>
      </c>
      <c r="G28" s="119"/>
      <c r="H28" s="119"/>
    </row>
    <row r="29" spans="2:8" x14ac:dyDescent="0.3">
      <c r="B29" s="44">
        <f>'Worksheet (6)'!B33</f>
        <v>11004</v>
      </c>
      <c r="C29" s="1" t="str">
        <f t="shared" si="4"/>
        <v>Akumulasi Penyusutan Peralatanan Kendaraan</v>
      </c>
      <c r="D29" s="1" t="str">
        <f t="shared" si="5"/>
        <v>Kr</v>
      </c>
      <c r="E29" s="119">
        <f t="shared" si="6"/>
        <v>0</v>
      </c>
      <c r="F29" s="119">
        <f t="shared" ca="1" si="7"/>
        <v>0</v>
      </c>
      <c r="G29" s="119"/>
      <c r="H29" s="119"/>
    </row>
    <row r="30" spans="2:8" x14ac:dyDescent="0.3">
      <c r="B30" s="44">
        <f>'Worksheet (6)'!B34</f>
        <v>11005</v>
      </c>
      <c r="C30" s="1" t="str">
        <f t="shared" si="4"/>
        <v>Gedung</v>
      </c>
      <c r="D30" s="1" t="str">
        <f t="shared" si="5"/>
        <v>Db</v>
      </c>
      <c r="E30" s="119">
        <f t="shared" ca="1" si="6"/>
        <v>0</v>
      </c>
      <c r="F30" s="119">
        <f t="shared" si="7"/>
        <v>0</v>
      </c>
      <c r="G30" s="119"/>
      <c r="H30" s="119"/>
    </row>
    <row r="31" spans="2:8" x14ac:dyDescent="0.3">
      <c r="B31" s="44">
        <f>'Worksheet (6)'!B35</f>
        <v>11006</v>
      </c>
      <c r="C31" s="1" t="str">
        <f t="shared" si="4"/>
        <v>Akumulasi Penyusutan Gedung</v>
      </c>
      <c r="D31" s="1" t="str">
        <f t="shared" si="5"/>
        <v>Kr</v>
      </c>
      <c r="E31" s="119">
        <f t="shared" si="6"/>
        <v>0</v>
      </c>
      <c r="F31" s="119">
        <f t="shared" ca="1" si="7"/>
        <v>0</v>
      </c>
      <c r="G31" s="119"/>
      <c r="H31" s="119"/>
    </row>
    <row r="32" spans="2:8" x14ac:dyDescent="0.3">
      <c r="B32" s="44">
        <f>'Worksheet (6)'!B36</f>
        <v>11007</v>
      </c>
      <c r="C32" s="1" t="str">
        <f t="shared" si="4"/>
        <v>Mesin</v>
      </c>
      <c r="D32" s="1" t="str">
        <f t="shared" si="5"/>
        <v>Db</v>
      </c>
      <c r="E32" s="119">
        <f t="shared" ca="1" si="6"/>
        <v>0</v>
      </c>
      <c r="F32" s="119">
        <f t="shared" si="7"/>
        <v>0</v>
      </c>
      <c r="G32" s="119"/>
      <c r="H32" s="119"/>
    </row>
    <row r="33" spans="2:8" x14ac:dyDescent="0.3">
      <c r="B33" s="44">
        <f>'Worksheet (6)'!B37</f>
        <v>11008</v>
      </c>
      <c r="C33" s="1" t="str">
        <f t="shared" si="4"/>
        <v>Akumulasi Penyusutan Mesin</v>
      </c>
      <c r="D33" s="1" t="str">
        <f t="shared" si="5"/>
        <v>Kr</v>
      </c>
      <c r="E33" s="119">
        <f t="shared" si="6"/>
        <v>0</v>
      </c>
      <c r="F33" s="119">
        <f t="shared" ca="1" si="7"/>
        <v>0</v>
      </c>
      <c r="G33" s="119"/>
      <c r="H33" s="119"/>
    </row>
    <row r="34" spans="2:8" x14ac:dyDescent="0.3">
      <c r="B34" s="44">
        <f>'Worksheet (6)'!B38</f>
        <v>11009</v>
      </c>
      <c r="C34" s="1" t="str">
        <f t="shared" si="4"/>
        <v>Peralatan Toko</v>
      </c>
      <c r="D34" s="1" t="str">
        <f t="shared" si="5"/>
        <v>Db</v>
      </c>
      <c r="E34" s="119">
        <f t="shared" ca="1" si="6"/>
        <v>0</v>
      </c>
      <c r="F34" s="119">
        <f t="shared" si="7"/>
        <v>0</v>
      </c>
      <c r="G34" s="119"/>
      <c r="H34" s="119"/>
    </row>
    <row r="35" spans="2:8" x14ac:dyDescent="0.3">
      <c r="B35" s="44">
        <f>'Worksheet (6)'!B39</f>
        <v>11010</v>
      </c>
      <c r="C35" s="1" t="str">
        <f t="shared" si="4"/>
        <v>Akumulasi Penyusutan Peralatan Toko</v>
      </c>
      <c r="D35" s="1" t="str">
        <f t="shared" si="5"/>
        <v>Kr</v>
      </c>
      <c r="E35" s="119">
        <f t="shared" si="6"/>
        <v>0</v>
      </c>
      <c r="F35" s="119">
        <f t="shared" ca="1" si="7"/>
        <v>0</v>
      </c>
      <c r="G35" s="119"/>
      <c r="H35" s="119"/>
    </row>
    <row r="36" spans="2:8" x14ac:dyDescent="0.3">
      <c r="B36" s="44">
        <f>'Worksheet (6)'!B40</f>
        <v>11011</v>
      </c>
      <c r="C36" s="1" t="str">
        <f t="shared" si="4"/>
        <v xml:space="preserve">Tanah </v>
      </c>
      <c r="D36" s="1" t="str">
        <f t="shared" si="5"/>
        <v>Db</v>
      </c>
      <c r="E36" s="119">
        <f t="shared" ca="1" si="6"/>
        <v>0</v>
      </c>
      <c r="F36" s="119">
        <f t="shared" si="7"/>
        <v>0</v>
      </c>
      <c r="G36" s="119"/>
      <c r="H36" s="119"/>
    </row>
    <row r="37" spans="2:8" x14ac:dyDescent="0.3">
      <c r="B37" s="44">
        <f>'Worksheet (6)'!B41</f>
        <v>11012</v>
      </c>
      <c r="C37" s="1">
        <f t="shared" si="4"/>
        <v>0</v>
      </c>
      <c r="D37" s="1" t="str">
        <f t="shared" si="5"/>
        <v>Db</v>
      </c>
      <c r="E37" s="119">
        <f t="shared" ca="1" si="6"/>
        <v>0</v>
      </c>
      <c r="F37" s="119">
        <f t="shared" si="7"/>
        <v>0</v>
      </c>
      <c r="G37" s="119"/>
      <c r="H37" s="119"/>
    </row>
    <row r="38" spans="2:8" x14ac:dyDescent="0.3">
      <c r="B38" s="44">
        <f>'Worksheet (6)'!B42</f>
        <v>11013</v>
      </c>
      <c r="C38" s="1">
        <f t="shared" si="4"/>
        <v>0</v>
      </c>
      <c r="D38" s="1" t="str">
        <f t="shared" si="5"/>
        <v>Db</v>
      </c>
      <c r="E38" s="119">
        <f t="shared" ca="1" si="6"/>
        <v>0</v>
      </c>
      <c r="F38" s="119">
        <f t="shared" si="7"/>
        <v>0</v>
      </c>
      <c r="G38" s="119"/>
      <c r="H38" s="119"/>
    </row>
    <row r="39" spans="2:8" x14ac:dyDescent="0.3">
      <c r="B39" s="44"/>
      <c r="C39" s="1"/>
      <c r="D39" s="1"/>
      <c r="E39" s="1"/>
      <c r="F39" s="1"/>
      <c r="G39" s="163">
        <f ca="1">SUM(E26:E38)</f>
        <v>0</v>
      </c>
      <c r="H39" s="163">
        <f ca="1">SUM(F26:F38)</f>
        <v>0</v>
      </c>
    </row>
    <row r="40" spans="2:8" x14ac:dyDescent="0.3">
      <c r="B40" s="44"/>
      <c r="C40" s="1"/>
      <c r="D40" s="1"/>
      <c r="E40" s="119"/>
      <c r="F40" s="119"/>
      <c r="G40" s="119"/>
      <c r="H40" s="119">
        <f ca="1">H39-G39</f>
        <v>0</v>
      </c>
    </row>
    <row r="41" spans="2:8" x14ac:dyDescent="0.3">
      <c r="B41" s="44">
        <f>'Worksheet (6)'!B43</f>
        <v>11014</v>
      </c>
      <c r="C41" s="1">
        <f>VLOOKUP(B41,neracalajur,2,0)</f>
        <v>0</v>
      </c>
      <c r="D41" s="1" t="str">
        <f>VLOOKUP(B41,neracalajur,3,0)</f>
        <v>Db</v>
      </c>
      <c r="E41" s="119">
        <f ca="1">VLOOKUP(B41,neracalajur,17,0)</f>
        <v>0</v>
      </c>
      <c r="F41" s="119">
        <f ca="1">'Changes Capital Statement (9)'!G14</f>
        <v>590000</v>
      </c>
      <c r="G41" s="119"/>
      <c r="H41" s="119"/>
    </row>
    <row r="42" spans="2:8" x14ac:dyDescent="0.3">
      <c r="G42" s="163">
        <f ca="1">SUM(E41:E41)</f>
        <v>0</v>
      </c>
      <c r="H42" s="163">
        <f ca="1">SUM(F41:F41)</f>
        <v>590000</v>
      </c>
    </row>
    <row r="43" spans="2:8" x14ac:dyDescent="0.3">
      <c r="E43" s="60"/>
      <c r="F43" s="60"/>
      <c r="G43" s="119"/>
      <c r="H43" s="163">
        <f ca="1">H42-G42</f>
        <v>590000</v>
      </c>
    </row>
    <row r="44" spans="2:8" x14ac:dyDescent="0.3">
      <c r="G44" s="1"/>
      <c r="H44" s="119">
        <f ca="1">H43+H40</f>
        <v>590000</v>
      </c>
    </row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69FF-4F96-46BB-8AA5-35C5896E8BB0}">
  <sheetPr filterMode="1"/>
  <dimension ref="A1:H89"/>
  <sheetViews>
    <sheetView zoomScaleNormal="100" workbookViewId="0">
      <selection activeCell="K30" sqref="K30"/>
    </sheetView>
  </sheetViews>
  <sheetFormatPr defaultRowHeight="14.4" x14ac:dyDescent="0.3"/>
  <cols>
    <col min="2" max="2" width="7.33203125" customWidth="1"/>
    <col min="3" max="3" width="39.77734375" customWidth="1"/>
    <col min="5" max="7" width="16.44140625" customWidth="1"/>
    <col min="8" max="8" width="13.44140625" bestFit="1" customWidth="1"/>
  </cols>
  <sheetData>
    <row r="1" spans="1:7" ht="15" thickBot="1" x14ac:dyDescent="0.35"/>
    <row r="2" spans="1:7" x14ac:dyDescent="0.3">
      <c r="B2" s="236" t="str">
        <f>'Worksheet (6)'!B2:S2</f>
        <v>CV Max Picture</v>
      </c>
      <c r="C2" s="237"/>
      <c r="D2" s="237"/>
      <c r="E2" s="237"/>
      <c r="F2" s="237"/>
      <c r="G2" s="238"/>
    </row>
    <row r="3" spans="1:7" x14ac:dyDescent="0.3">
      <c r="B3" s="239" t="s">
        <v>150</v>
      </c>
      <c r="C3" s="215"/>
      <c r="D3" s="215"/>
      <c r="E3" s="215"/>
      <c r="F3" s="215"/>
      <c r="G3" s="240"/>
    </row>
    <row r="4" spans="1:7" ht="15" thickBot="1" x14ac:dyDescent="0.35">
      <c r="B4" s="241" t="str">
        <f>'Worksheet (6)'!B4:S4</f>
        <v>Periode Desember 2021</v>
      </c>
      <c r="C4" s="242"/>
      <c r="D4" s="242"/>
      <c r="E4" s="242"/>
      <c r="F4" s="242"/>
      <c r="G4" s="243"/>
    </row>
    <row r="5" spans="1:7" ht="15" thickBot="1" x14ac:dyDescent="0.35">
      <c r="B5" s="257" t="str">
        <f>'Worksheet (6)'!B5:S5</f>
        <v>~ Dilarang keras merubah (Apapun) yang bukan menjadi kepentingan Anda !  ~</v>
      </c>
      <c r="C5" s="258"/>
      <c r="D5" s="258"/>
      <c r="E5" s="258"/>
      <c r="F5" s="258"/>
      <c r="G5" s="259"/>
    </row>
    <row r="6" spans="1:7" ht="15" thickBot="1" x14ac:dyDescent="0.35">
      <c r="B6" s="59" t="s">
        <v>15</v>
      </c>
      <c r="C6" s="103" t="s">
        <v>13</v>
      </c>
      <c r="D6" s="75" t="s">
        <v>3</v>
      </c>
      <c r="E6" s="101" t="s">
        <v>117</v>
      </c>
      <c r="F6" s="157" t="s">
        <v>5</v>
      </c>
      <c r="G6" s="75" t="s">
        <v>21</v>
      </c>
    </row>
    <row r="7" spans="1:7" x14ac:dyDescent="0.3">
      <c r="A7">
        <f>IF(C7=0,0,1)</f>
        <v>1</v>
      </c>
      <c r="B7" s="362">
        <f>'Worksheet (6)'!B8</f>
        <v>10000</v>
      </c>
      <c r="C7" s="87" t="str">
        <f t="shared" ref="C7:C16" si="0">VLOOKUP(B7,neracalajur,2,0)</f>
        <v>Harta Lancar</v>
      </c>
      <c r="D7" s="91" t="str">
        <f>VLOOKUP(B7,neracalajur,3,0)</f>
        <v>Db</v>
      </c>
      <c r="E7" s="25">
        <f ca="1">VLOOKUP(B7,neracalajur,17,0)</f>
        <v>0</v>
      </c>
      <c r="F7" s="14">
        <f t="shared" ref="F7:F16" si="1">VLOOKUP(B7,neracalajur,18,0)</f>
        <v>0</v>
      </c>
      <c r="G7" s="144">
        <f ca="1">IF(D7="Kr",F7-E7,E7-F7)</f>
        <v>0</v>
      </c>
    </row>
    <row r="8" spans="1:7" x14ac:dyDescent="0.3">
      <c r="A8">
        <f t="shared" ref="A8:A71" si="2">IF(C8=0,0,1)</f>
        <v>1</v>
      </c>
      <c r="B8" s="137">
        <f>'Worksheet (6)'!B9</f>
        <v>10001</v>
      </c>
      <c r="C8" s="83" t="str">
        <f t="shared" si="0"/>
        <v>Kas</v>
      </c>
      <c r="D8" s="86" t="str">
        <f>VLOOKUP(B8,neracalajur,3,0)</f>
        <v>Db</v>
      </c>
      <c r="E8" s="84">
        <f t="shared" ref="E8:E16" ca="1" si="3">VLOOKUP(B8,neracalajur,17,0)</f>
        <v>80000</v>
      </c>
      <c r="F8" s="54">
        <f t="shared" si="1"/>
        <v>0</v>
      </c>
      <c r="G8" s="142">
        <f ca="1">IF(D8="Kr",F8-E8,E8-F8)</f>
        <v>80000</v>
      </c>
    </row>
    <row r="9" spans="1:7" x14ac:dyDescent="0.3">
      <c r="A9">
        <f t="shared" si="2"/>
        <v>1</v>
      </c>
      <c r="B9" s="137">
        <f>'Worksheet (6)'!B10</f>
        <v>10002</v>
      </c>
      <c r="C9" s="83" t="str">
        <f t="shared" si="0"/>
        <v>Persediaan Barang Dagang</v>
      </c>
      <c r="D9" s="86" t="str">
        <f t="shared" ref="D9:D14" si="4">VLOOKUP(B9,neracalajur,3,0)</f>
        <v>Db</v>
      </c>
      <c r="E9" s="84">
        <f t="shared" ca="1" si="3"/>
        <v>0</v>
      </c>
      <c r="F9" s="54">
        <f t="shared" si="1"/>
        <v>0</v>
      </c>
      <c r="G9" s="142">
        <f t="shared" ref="G9:G16" ca="1" si="5">IF(D9="Kr",F9-E9,E9-F9)</f>
        <v>0</v>
      </c>
    </row>
    <row r="10" spans="1:7" x14ac:dyDescent="0.3">
      <c r="A10">
        <f t="shared" si="2"/>
        <v>1</v>
      </c>
      <c r="B10" s="137">
        <f>'Worksheet (6)'!B11</f>
        <v>10003</v>
      </c>
      <c r="C10" s="83" t="str">
        <f t="shared" si="0"/>
        <v>Piutang Usaha</v>
      </c>
      <c r="D10" s="86" t="str">
        <f t="shared" si="4"/>
        <v>Db</v>
      </c>
      <c r="E10" s="84">
        <f t="shared" ca="1" si="3"/>
        <v>500000</v>
      </c>
      <c r="F10" s="54">
        <f t="shared" si="1"/>
        <v>0</v>
      </c>
      <c r="G10" s="142">
        <f t="shared" ca="1" si="5"/>
        <v>500000</v>
      </c>
    </row>
    <row r="11" spans="1:7" x14ac:dyDescent="0.3">
      <c r="A11">
        <f t="shared" si="2"/>
        <v>1</v>
      </c>
      <c r="B11" s="137">
        <f>'Worksheet (6)'!B12</f>
        <v>10004</v>
      </c>
      <c r="C11" s="83" t="str">
        <f t="shared" si="0"/>
        <v>Piutang Pendapatan</v>
      </c>
      <c r="D11" s="86" t="str">
        <f t="shared" si="4"/>
        <v>Db</v>
      </c>
      <c r="E11" s="84">
        <f t="shared" ca="1" si="3"/>
        <v>0</v>
      </c>
      <c r="F11" s="54">
        <f t="shared" si="1"/>
        <v>0</v>
      </c>
      <c r="G11" s="142">
        <f t="shared" ca="1" si="5"/>
        <v>0</v>
      </c>
    </row>
    <row r="12" spans="1:7" x14ac:dyDescent="0.3">
      <c r="A12">
        <f t="shared" si="2"/>
        <v>1</v>
      </c>
      <c r="B12" s="137">
        <f>'Worksheet (6)'!B13</f>
        <v>10005</v>
      </c>
      <c r="C12" s="83" t="str">
        <f t="shared" si="0"/>
        <v>Wesel Tagih</v>
      </c>
      <c r="D12" s="86" t="str">
        <f t="shared" si="4"/>
        <v>Db</v>
      </c>
      <c r="E12" s="84">
        <f t="shared" ca="1" si="3"/>
        <v>0</v>
      </c>
      <c r="F12" s="54">
        <f t="shared" si="1"/>
        <v>0</v>
      </c>
      <c r="G12" s="142">
        <f t="shared" ca="1" si="5"/>
        <v>0</v>
      </c>
    </row>
    <row r="13" spans="1:7" x14ac:dyDescent="0.3">
      <c r="A13">
        <f t="shared" si="2"/>
        <v>1</v>
      </c>
      <c r="B13" s="137">
        <f>'Worksheet (6)'!B14</f>
        <v>10006</v>
      </c>
      <c r="C13" s="83" t="str">
        <f t="shared" si="0"/>
        <v>Perlengkapan Kantor</v>
      </c>
      <c r="D13" s="86" t="str">
        <f t="shared" si="4"/>
        <v>Db</v>
      </c>
      <c r="E13" s="84">
        <f t="shared" ca="1" si="3"/>
        <v>10000</v>
      </c>
      <c r="F13" s="54">
        <f t="shared" si="1"/>
        <v>0</v>
      </c>
      <c r="G13" s="142">
        <f t="shared" ca="1" si="5"/>
        <v>10000</v>
      </c>
    </row>
    <row r="14" spans="1:7" x14ac:dyDescent="0.3">
      <c r="A14">
        <f t="shared" si="2"/>
        <v>1</v>
      </c>
      <c r="B14" s="137">
        <f>'Worksheet (6)'!B15</f>
        <v>10007</v>
      </c>
      <c r="C14" s="83" t="str">
        <f t="shared" si="0"/>
        <v>Perlengkapan Toko</v>
      </c>
      <c r="D14" s="86" t="str">
        <f t="shared" si="4"/>
        <v>Db</v>
      </c>
      <c r="E14" s="84">
        <f t="shared" ca="1" si="3"/>
        <v>0</v>
      </c>
      <c r="F14" s="54">
        <f t="shared" si="1"/>
        <v>0</v>
      </c>
      <c r="G14" s="142">
        <f t="shared" ca="1" si="5"/>
        <v>0</v>
      </c>
    </row>
    <row r="15" spans="1:7" x14ac:dyDescent="0.3">
      <c r="A15">
        <f t="shared" si="2"/>
        <v>1</v>
      </c>
      <c r="B15" s="137">
        <f>'Worksheet (6)'!B16</f>
        <v>10008</v>
      </c>
      <c r="C15" s="83" t="str">
        <f t="shared" si="0"/>
        <v>Iklan Dibayar Dimuka</v>
      </c>
      <c r="D15" s="86" t="str">
        <f>VLOOKUP(B15,neracalajur,3,0)</f>
        <v>Db</v>
      </c>
      <c r="E15" s="84">
        <f t="shared" ca="1" si="3"/>
        <v>0</v>
      </c>
      <c r="F15" s="54">
        <f t="shared" si="1"/>
        <v>0</v>
      </c>
      <c r="G15" s="142">
        <f t="shared" ca="1" si="5"/>
        <v>0</v>
      </c>
    </row>
    <row r="16" spans="1:7" x14ac:dyDescent="0.3">
      <c r="A16">
        <f t="shared" si="2"/>
        <v>1</v>
      </c>
      <c r="B16" s="137">
        <f>'Worksheet (6)'!B17</f>
        <v>10009</v>
      </c>
      <c r="C16" s="88" t="str">
        <f t="shared" si="0"/>
        <v>Sewa Dibayar Dimuka</v>
      </c>
      <c r="D16" s="90" t="str">
        <f>VLOOKUP(B16,neracalajur,3,0)</f>
        <v>Db</v>
      </c>
      <c r="E16" s="89">
        <f t="shared" ca="1" si="3"/>
        <v>0</v>
      </c>
      <c r="F16" s="56">
        <f t="shared" si="1"/>
        <v>0</v>
      </c>
      <c r="G16" s="142">
        <f t="shared" ca="1" si="5"/>
        <v>0</v>
      </c>
    </row>
    <row r="17" spans="1:7" ht="15" thickBot="1" x14ac:dyDescent="0.35">
      <c r="A17">
        <f t="shared" si="2"/>
        <v>1</v>
      </c>
      <c r="B17" s="137">
        <f>'Worksheet (6)'!B18</f>
        <v>10010</v>
      </c>
      <c r="C17" s="88" t="str">
        <f t="shared" ref="C17:C27" si="6">VLOOKUP(B17,neracalajur,2,0)</f>
        <v>Asuransi Dibayar Dimuka</v>
      </c>
      <c r="D17" s="90" t="str">
        <f>VLOOKUP(B17,neracalajur,3,0)</f>
        <v>Db</v>
      </c>
      <c r="E17" s="89">
        <f t="shared" ref="E17:E27" ca="1" si="7">VLOOKUP(B17,neracalajur,17,0)</f>
        <v>0</v>
      </c>
      <c r="F17" s="56">
        <f t="shared" ref="F17:F27" si="8">VLOOKUP(B17,neracalajur,18,0)</f>
        <v>0</v>
      </c>
      <c r="G17" s="142">
        <f t="shared" ref="G17:G27" ca="1" si="9">IF(D17="Kr",F17-E17,E17-F17)</f>
        <v>0</v>
      </c>
    </row>
    <row r="18" spans="1:7" ht="15" hidden="1" thickBot="1" x14ac:dyDescent="0.35">
      <c r="A18">
        <f t="shared" si="2"/>
        <v>0</v>
      </c>
      <c r="B18" s="137">
        <f>'Worksheet (6)'!B19</f>
        <v>10011</v>
      </c>
      <c r="C18" s="88">
        <f t="shared" si="6"/>
        <v>0</v>
      </c>
      <c r="D18" s="90" t="str">
        <f>VLOOKUP(B18,neracalajur,3,0)</f>
        <v>Db</v>
      </c>
      <c r="E18" s="89">
        <f t="shared" ca="1" si="7"/>
        <v>0</v>
      </c>
      <c r="F18" s="56">
        <f t="shared" si="8"/>
        <v>0</v>
      </c>
      <c r="G18" s="142">
        <f t="shared" ca="1" si="9"/>
        <v>0</v>
      </c>
    </row>
    <row r="19" spans="1:7" ht="15" hidden="1" thickBot="1" x14ac:dyDescent="0.35">
      <c r="A19">
        <f t="shared" si="2"/>
        <v>0</v>
      </c>
      <c r="B19" s="137">
        <f>'Worksheet (6)'!B20</f>
        <v>10012</v>
      </c>
      <c r="C19" s="88">
        <f t="shared" si="6"/>
        <v>0</v>
      </c>
      <c r="D19" s="90" t="str">
        <f>VLOOKUP(B19,neracalajur,3,0)</f>
        <v>Db</v>
      </c>
      <c r="E19" s="89">
        <f t="shared" ca="1" si="7"/>
        <v>0</v>
      </c>
      <c r="F19" s="56">
        <f t="shared" si="8"/>
        <v>0</v>
      </c>
      <c r="G19" s="142">
        <f t="shared" ca="1" si="9"/>
        <v>0</v>
      </c>
    </row>
    <row r="20" spans="1:7" ht="15" hidden="1" thickBot="1" x14ac:dyDescent="0.35">
      <c r="A20">
        <f t="shared" si="2"/>
        <v>0</v>
      </c>
      <c r="B20" s="137">
        <f>'Worksheet (6)'!B21</f>
        <v>10013</v>
      </c>
      <c r="C20" s="88">
        <f t="shared" si="6"/>
        <v>0</v>
      </c>
      <c r="D20" s="90" t="str">
        <f>VLOOKUP(B20,neracalajur,3,0)</f>
        <v>Db</v>
      </c>
      <c r="E20" s="89">
        <f t="shared" ca="1" si="7"/>
        <v>0</v>
      </c>
      <c r="F20" s="56">
        <f t="shared" si="8"/>
        <v>0</v>
      </c>
      <c r="G20" s="142">
        <f t="shared" ca="1" si="9"/>
        <v>0</v>
      </c>
    </row>
    <row r="21" spans="1:7" ht="15" hidden="1" thickBot="1" x14ac:dyDescent="0.35">
      <c r="A21">
        <f t="shared" si="2"/>
        <v>0</v>
      </c>
      <c r="B21" s="137">
        <f>'Worksheet (6)'!B22</f>
        <v>10014</v>
      </c>
      <c r="C21" s="88">
        <f t="shared" si="6"/>
        <v>0</v>
      </c>
      <c r="D21" s="90" t="str">
        <f>VLOOKUP(B21,neracalajur,3,0)</f>
        <v>Db</v>
      </c>
      <c r="E21" s="89">
        <f t="shared" ca="1" si="7"/>
        <v>0</v>
      </c>
      <c r="F21" s="56">
        <f t="shared" si="8"/>
        <v>0</v>
      </c>
      <c r="G21" s="142">
        <f t="shared" ca="1" si="9"/>
        <v>0</v>
      </c>
    </row>
    <row r="22" spans="1:7" ht="15" hidden="1" thickBot="1" x14ac:dyDescent="0.35">
      <c r="A22">
        <f t="shared" si="2"/>
        <v>0</v>
      </c>
      <c r="B22" s="137">
        <f>'Worksheet (6)'!B23</f>
        <v>10015</v>
      </c>
      <c r="C22" s="88">
        <f t="shared" si="6"/>
        <v>0</v>
      </c>
      <c r="D22" s="90" t="str">
        <f>VLOOKUP(B22,neracalajur,3,0)</f>
        <v>Db</v>
      </c>
      <c r="E22" s="89">
        <f t="shared" ca="1" si="7"/>
        <v>0</v>
      </c>
      <c r="F22" s="56">
        <f t="shared" si="8"/>
        <v>0</v>
      </c>
      <c r="G22" s="142">
        <f t="shared" ca="1" si="9"/>
        <v>0</v>
      </c>
    </row>
    <row r="23" spans="1:7" ht="15" hidden="1" thickBot="1" x14ac:dyDescent="0.35">
      <c r="A23">
        <f t="shared" si="2"/>
        <v>0</v>
      </c>
      <c r="B23" s="137">
        <f>'Worksheet (6)'!B24</f>
        <v>10016</v>
      </c>
      <c r="C23" s="88">
        <f t="shared" si="6"/>
        <v>0</v>
      </c>
      <c r="D23" s="90" t="str">
        <f>VLOOKUP(B23,neracalajur,3,0)</f>
        <v>Db</v>
      </c>
      <c r="E23" s="89">
        <f t="shared" ca="1" si="7"/>
        <v>0</v>
      </c>
      <c r="F23" s="56">
        <f t="shared" si="8"/>
        <v>0</v>
      </c>
      <c r="G23" s="142">
        <f t="shared" ca="1" si="9"/>
        <v>0</v>
      </c>
    </row>
    <row r="24" spans="1:7" ht="15" hidden="1" thickBot="1" x14ac:dyDescent="0.35">
      <c r="A24">
        <f t="shared" si="2"/>
        <v>0</v>
      </c>
      <c r="B24" s="137">
        <f>'Worksheet (6)'!B25</f>
        <v>10017</v>
      </c>
      <c r="C24" s="88">
        <f t="shared" si="6"/>
        <v>0</v>
      </c>
      <c r="D24" s="90" t="str">
        <f>VLOOKUP(B24,neracalajur,3,0)</f>
        <v>Db</v>
      </c>
      <c r="E24" s="89">
        <f t="shared" ca="1" si="7"/>
        <v>0</v>
      </c>
      <c r="F24" s="56">
        <f t="shared" si="8"/>
        <v>0</v>
      </c>
      <c r="G24" s="142">
        <f t="shared" ca="1" si="9"/>
        <v>0</v>
      </c>
    </row>
    <row r="25" spans="1:7" ht="15" hidden="1" thickBot="1" x14ac:dyDescent="0.35">
      <c r="A25">
        <f t="shared" si="2"/>
        <v>0</v>
      </c>
      <c r="B25" s="137">
        <f>'Worksheet (6)'!B26</f>
        <v>10018</v>
      </c>
      <c r="C25" s="88">
        <f t="shared" si="6"/>
        <v>0</v>
      </c>
      <c r="D25" s="90" t="str">
        <f>VLOOKUP(B25,neracalajur,3,0)</f>
        <v>Db</v>
      </c>
      <c r="E25" s="89">
        <f t="shared" ca="1" si="7"/>
        <v>0</v>
      </c>
      <c r="F25" s="56">
        <f t="shared" si="8"/>
        <v>0</v>
      </c>
      <c r="G25" s="142">
        <f t="shared" ca="1" si="9"/>
        <v>0</v>
      </c>
    </row>
    <row r="26" spans="1:7" ht="15" hidden="1" thickBot="1" x14ac:dyDescent="0.35">
      <c r="A26">
        <f t="shared" si="2"/>
        <v>0</v>
      </c>
      <c r="B26" s="137">
        <f>'Worksheet (6)'!B27</f>
        <v>10019</v>
      </c>
      <c r="C26" s="88">
        <f t="shared" si="6"/>
        <v>0</v>
      </c>
      <c r="D26" s="90" t="str">
        <f>VLOOKUP(B26,neracalajur,3,0)</f>
        <v>Db</v>
      </c>
      <c r="E26" s="89">
        <f t="shared" ca="1" si="7"/>
        <v>0</v>
      </c>
      <c r="F26" s="56">
        <f t="shared" si="8"/>
        <v>0</v>
      </c>
      <c r="G26" s="142">
        <f t="shared" ca="1" si="9"/>
        <v>0</v>
      </c>
    </row>
    <row r="27" spans="1:7" ht="15" hidden="1" thickBot="1" x14ac:dyDescent="0.35">
      <c r="A27">
        <f t="shared" si="2"/>
        <v>0</v>
      </c>
      <c r="B27" s="137">
        <f>'Worksheet (6)'!B28</f>
        <v>10020</v>
      </c>
      <c r="C27" s="88">
        <f t="shared" si="6"/>
        <v>0</v>
      </c>
      <c r="D27" s="90" t="str">
        <f>VLOOKUP(B27,neracalajur,3,0)</f>
        <v>Db</v>
      </c>
      <c r="E27" s="89">
        <f t="shared" ca="1" si="7"/>
        <v>0</v>
      </c>
      <c r="F27" s="56">
        <f t="shared" si="8"/>
        <v>0</v>
      </c>
      <c r="G27" s="142">
        <f t="shared" ca="1" si="9"/>
        <v>0</v>
      </c>
    </row>
    <row r="28" spans="1:7" ht="15" thickBot="1" x14ac:dyDescent="0.35">
      <c r="A28">
        <f t="shared" si="2"/>
        <v>1</v>
      </c>
      <c r="B28" s="140"/>
      <c r="C28" s="92" t="s">
        <v>134</v>
      </c>
      <c r="D28" s="78" t="s">
        <v>61</v>
      </c>
      <c r="E28" s="79">
        <f ca="1">SUM(E7:E27)</f>
        <v>590000</v>
      </c>
      <c r="F28" s="79">
        <f>SUM(F7:F27)</f>
        <v>0</v>
      </c>
      <c r="G28" s="76">
        <f ca="1">IFERROR(IF(E28&gt;F28,E28-F28,F28-E28),0)</f>
        <v>590000</v>
      </c>
    </row>
    <row r="29" spans="1:7" x14ac:dyDescent="0.3">
      <c r="A29">
        <f t="shared" si="2"/>
        <v>1</v>
      </c>
      <c r="B29" s="363">
        <f>'Worksheet (6)'!B29</f>
        <v>11000</v>
      </c>
      <c r="C29" s="368" t="str">
        <f>VLOOKUP(B29,neracalajur,2,0)</f>
        <v>Harta tetap</v>
      </c>
      <c r="D29" s="102" t="str">
        <f>VLOOKUP(B29,neracalajur,3,0)</f>
        <v>Db</v>
      </c>
      <c r="E29" s="331">
        <f ca="1">VLOOKUP(B29,neracalajur,17,0)</f>
        <v>0</v>
      </c>
      <c r="F29" s="55">
        <f>VLOOKUP(B29,neracalajur,18,0)</f>
        <v>0</v>
      </c>
      <c r="G29" s="357">
        <f ca="1">IF(D29="Kr",F29-E29,E29-F29)</f>
        <v>0</v>
      </c>
    </row>
    <row r="30" spans="1:7" x14ac:dyDescent="0.3">
      <c r="A30">
        <f t="shared" si="2"/>
        <v>1</v>
      </c>
      <c r="B30" s="365">
        <f>'Worksheet (6)'!B30</f>
        <v>11001</v>
      </c>
      <c r="C30" s="364" t="str">
        <f>VLOOKUP(B30,neracalajur,2,0)</f>
        <v>Peralatan Kantor</v>
      </c>
      <c r="D30" s="90" t="str">
        <f>VLOOKUP(B30,neracalajur,3,0)</f>
        <v>Db</v>
      </c>
      <c r="E30" s="89">
        <f ca="1">VLOOKUP(B30,neracalajur,17,0)</f>
        <v>0</v>
      </c>
      <c r="F30" s="56">
        <f>VLOOKUP(B30,neracalajur,18,0)</f>
        <v>0</v>
      </c>
      <c r="G30" s="143">
        <f t="shared" ref="G30:G40" ca="1" si="10">IF(D30="Kr",F30-E30,E30-F30)</f>
        <v>0</v>
      </c>
    </row>
    <row r="31" spans="1:7" x14ac:dyDescent="0.3">
      <c r="A31">
        <f t="shared" si="2"/>
        <v>1</v>
      </c>
      <c r="B31" s="365">
        <f>'Worksheet (6)'!B31</f>
        <v>11002</v>
      </c>
      <c r="C31" s="364" t="str">
        <f>VLOOKUP(B31,neracalajur,2,0)</f>
        <v>Akumulasi Penyusutan Peralatan Kantor</v>
      </c>
      <c r="D31" s="90" t="str">
        <f>VLOOKUP(B31,neracalajur,3,0)</f>
        <v>Kr</v>
      </c>
      <c r="E31" s="89">
        <f>VLOOKUP(B31,neracalajur,17,0)</f>
        <v>0</v>
      </c>
      <c r="F31" s="56">
        <f ca="1">VLOOKUP(B31,neracalajur,18,0)</f>
        <v>0</v>
      </c>
      <c r="G31" s="143">
        <f t="shared" ca="1" si="10"/>
        <v>0</v>
      </c>
    </row>
    <row r="32" spans="1:7" x14ac:dyDescent="0.3">
      <c r="A32">
        <f t="shared" si="2"/>
        <v>1</v>
      </c>
      <c r="B32" s="365">
        <f>'Worksheet (6)'!B32</f>
        <v>11003</v>
      </c>
      <c r="C32" s="364" t="str">
        <f>VLOOKUP(B32,neracalajur,2,0)</f>
        <v>Kendaraan</v>
      </c>
      <c r="D32" s="90" t="str">
        <f>VLOOKUP(B32,neracalajur,3,0)</f>
        <v>Db</v>
      </c>
      <c r="E32" s="89">
        <f ca="1">VLOOKUP(B32,neracalajur,17,0)</f>
        <v>0</v>
      </c>
      <c r="F32" s="56">
        <f>VLOOKUP(B32,neracalajur,18,0)</f>
        <v>0</v>
      </c>
      <c r="G32" s="143">
        <f t="shared" ca="1" si="10"/>
        <v>0</v>
      </c>
    </row>
    <row r="33" spans="1:7" x14ac:dyDescent="0.3">
      <c r="A33">
        <f t="shared" si="2"/>
        <v>1</v>
      </c>
      <c r="B33" s="365">
        <f>'Worksheet (6)'!B33</f>
        <v>11004</v>
      </c>
      <c r="C33" s="364" t="str">
        <f>VLOOKUP(B33,neracalajur,2,0)</f>
        <v>Akumulasi Penyusutan Peralatanan Kendaraan</v>
      </c>
      <c r="D33" s="90" t="str">
        <f>VLOOKUP(B33,neracalajur,3,0)</f>
        <v>Kr</v>
      </c>
      <c r="E33" s="89">
        <f>VLOOKUP(B33,neracalajur,17,0)</f>
        <v>0</v>
      </c>
      <c r="F33" s="56">
        <f ca="1">VLOOKUP(B33,neracalajur,18,0)</f>
        <v>0</v>
      </c>
      <c r="G33" s="143">
        <f t="shared" ca="1" si="10"/>
        <v>0</v>
      </c>
    </row>
    <row r="34" spans="1:7" x14ac:dyDescent="0.3">
      <c r="A34">
        <f t="shared" si="2"/>
        <v>1</v>
      </c>
      <c r="B34" s="365">
        <f>'Worksheet (6)'!B34</f>
        <v>11005</v>
      </c>
      <c r="C34" s="364" t="str">
        <f>VLOOKUP(B34,neracalajur,2,0)</f>
        <v>Gedung</v>
      </c>
      <c r="D34" s="90" t="str">
        <f>VLOOKUP(B34,neracalajur,3,0)</f>
        <v>Db</v>
      </c>
      <c r="E34" s="89">
        <f ca="1">VLOOKUP(B34,neracalajur,17,0)</f>
        <v>0</v>
      </c>
      <c r="F34" s="56">
        <f>VLOOKUP(B34,neracalajur,18,0)</f>
        <v>0</v>
      </c>
      <c r="G34" s="143">
        <f t="shared" ca="1" si="10"/>
        <v>0</v>
      </c>
    </row>
    <row r="35" spans="1:7" x14ac:dyDescent="0.3">
      <c r="A35">
        <f t="shared" si="2"/>
        <v>1</v>
      </c>
      <c r="B35" s="365">
        <f>'Worksheet (6)'!B35</f>
        <v>11006</v>
      </c>
      <c r="C35" s="364" t="str">
        <f>VLOOKUP(B35,neracalajur,2,0)</f>
        <v>Akumulasi Penyusutan Gedung</v>
      </c>
      <c r="D35" s="90" t="str">
        <f>VLOOKUP(B35,neracalajur,3,0)</f>
        <v>Kr</v>
      </c>
      <c r="E35" s="89">
        <f>VLOOKUP(B35,neracalajur,17,0)</f>
        <v>0</v>
      </c>
      <c r="F35" s="56">
        <f ca="1">VLOOKUP(B35,neracalajur,18,0)</f>
        <v>0</v>
      </c>
      <c r="G35" s="143">
        <f t="shared" ca="1" si="10"/>
        <v>0</v>
      </c>
    </row>
    <row r="36" spans="1:7" x14ac:dyDescent="0.3">
      <c r="A36">
        <f t="shared" si="2"/>
        <v>1</v>
      </c>
      <c r="B36" s="365">
        <f>'Worksheet (6)'!B36</f>
        <v>11007</v>
      </c>
      <c r="C36" s="364" t="str">
        <f>VLOOKUP(B36,neracalajur,2,0)</f>
        <v>Mesin</v>
      </c>
      <c r="D36" s="90" t="str">
        <f>VLOOKUP(B36,neracalajur,3,0)</f>
        <v>Db</v>
      </c>
      <c r="E36" s="89">
        <f ca="1">VLOOKUP(B36,neracalajur,17,0)</f>
        <v>0</v>
      </c>
      <c r="F36" s="56">
        <f>VLOOKUP(B36,neracalajur,18,0)</f>
        <v>0</v>
      </c>
      <c r="G36" s="143">
        <f t="shared" ca="1" si="10"/>
        <v>0</v>
      </c>
    </row>
    <row r="37" spans="1:7" x14ac:dyDescent="0.3">
      <c r="A37">
        <f t="shared" si="2"/>
        <v>1</v>
      </c>
      <c r="B37" s="365">
        <f>'Worksheet (6)'!B37</f>
        <v>11008</v>
      </c>
      <c r="C37" s="364" t="str">
        <f>VLOOKUP(B37,neracalajur,2,0)</f>
        <v>Akumulasi Penyusutan Mesin</v>
      </c>
      <c r="D37" s="90" t="str">
        <f>VLOOKUP(B37,neracalajur,3,0)</f>
        <v>Kr</v>
      </c>
      <c r="E37" s="89">
        <f>VLOOKUP(B37,neracalajur,17,0)</f>
        <v>0</v>
      </c>
      <c r="F37" s="56">
        <f ca="1">VLOOKUP(B37,neracalajur,18,0)</f>
        <v>0</v>
      </c>
      <c r="G37" s="143">
        <f t="shared" ca="1" si="10"/>
        <v>0</v>
      </c>
    </row>
    <row r="38" spans="1:7" x14ac:dyDescent="0.3">
      <c r="A38">
        <f t="shared" si="2"/>
        <v>1</v>
      </c>
      <c r="B38" s="365">
        <f>'Worksheet (6)'!B38</f>
        <v>11009</v>
      </c>
      <c r="C38" s="364" t="str">
        <f>VLOOKUP(B38,neracalajur,2,0)</f>
        <v>Peralatan Toko</v>
      </c>
      <c r="D38" s="90" t="str">
        <f>VLOOKUP(B38,neracalajur,3,0)</f>
        <v>Db</v>
      </c>
      <c r="E38" s="89">
        <f ca="1">VLOOKUP(B38,neracalajur,17,0)</f>
        <v>0</v>
      </c>
      <c r="F38" s="56">
        <f>VLOOKUP(B38,neracalajur,18,0)</f>
        <v>0</v>
      </c>
      <c r="G38" s="143">
        <f t="shared" ca="1" si="10"/>
        <v>0</v>
      </c>
    </row>
    <row r="39" spans="1:7" x14ac:dyDescent="0.3">
      <c r="A39">
        <f t="shared" si="2"/>
        <v>1</v>
      </c>
      <c r="B39" s="365">
        <f>'Worksheet (6)'!B39</f>
        <v>11010</v>
      </c>
      <c r="C39" s="364" t="str">
        <f>VLOOKUP(B39,neracalajur,2,0)</f>
        <v>Akumulasi Penyusutan Peralatan Toko</v>
      </c>
      <c r="D39" s="90" t="str">
        <f>VLOOKUP(B39,neracalajur,3,0)</f>
        <v>Kr</v>
      </c>
      <c r="E39" s="89">
        <f>VLOOKUP(B39,neracalajur,17,0)</f>
        <v>0</v>
      </c>
      <c r="F39" s="56">
        <f ca="1">VLOOKUP(B39,neracalajur,18,0)</f>
        <v>0</v>
      </c>
      <c r="G39" s="143">
        <f t="shared" ca="1" si="10"/>
        <v>0</v>
      </c>
    </row>
    <row r="40" spans="1:7" ht="15" thickBot="1" x14ac:dyDescent="0.35">
      <c r="A40">
        <f t="shared" si="2"/>
        <v>1</v>
      </c>
      <c r="B40" s="365">
        <f>'Worksheet (6)'!B40</f>
        <v>11011</v>
      </c>
      <c r="C40" s="364" t="str">
        <f>VLOOKUP(B40,neracalajur,2,0)</f>
        <v xml:space="preserve">Tanah </v>
      </c>
      <c r="D40" s="90" t="str">
        <f>VLOOKUP(B40,neracalajur,3,0)</f>
        <v>Db</v>
      </c>
      <c r="E40" s="89">
        <f ca="1">VLOOKUP(B40,neracalajur,17,0)</f>
        <v>0</v>
      </c>
      <c r="F40" s="56">
        <f>VLOOKUP(B40,neracalajur,18,0)</f>
        <v>0</v>
      </c>
      <c r="G40" s="143">
        <f t="shared" ca="1" si="10"/>
        <v>0</v>
      </c>
    </row>
    <row r="41" spans="1:7" ht="15" hidden="1" thickBot="1" x14ac:dyDescent="0.35">
      <c r="A41">
        <f t="shared" si="2"/>
        <v>0</v>
      </c>
      <c r="B41" s="365">
        <f>'Worksheet (6)'!B41</f>
        <v>11012</v>
      </c>
      <c r="C41" s="364">
        <f>VLOOKUP(B41,neracalajur,2,0)</f>
        <v>0</v>
      </c>
      <c r="D41" s="90" t="str">
        <f>VLOOKUP(B41,neracalajur,3,0)</f>
        <v>Db</v>
      </c>
      <c r="E41" s="89">
        <f ca="1">VLOOKUP(B41,neracalajur,17,0)</f>
        <v>0</v>
      </c>
      <c r="F41" s="56">
        <f>VLOOKUP(B41,neracalajur,18,0)</f>
        <v>0</v>
      </c>
      <c r="G41" s="143">
        <f t="shared" ref="G41:G49" ca="1" si="11">IF(D41="Kr",F41-E41,E41-F41)</f>
        <v>0</v>
      </c>
    </row>
    <row r="42" spans="1:7" ht="15" hidden="1" thickBot="1" x14ac:dyDescent="0.35">
      <c r="A42">
        <f t="shared" si="2"/>
        <v>0</v>
      </c>
      <c r="B42" s="365">
        <f>'Worksheet (6)'!B42</f>
        <v>11013</v>
      </c>
      <c r="C42" s="364">
        <f>VLOOKUP(B42,neracalajur,2,0)</f>
        <v>0</v>
      </c>
      <c r="D42" s="90" t="str">
        <f>VLOOKUP(B42,neracalajur,3,0)</f>
        <v>Db</v>
      </c>
      <c r="E42" s="89">
        <f ca="1">VLOOKUP(B42,neracalajur,17,0)</f>
        <v>0</v>
      </c>
      <c r="F42" s="56">
        <f>VLOOKUP(B42,neracalajur,18,0)</f>
        <v>0</v>
      </c>
      <c r="G42" s="143">
        <f t="shared" ca="1" si="11"/>
        <v>0</v>
      </c>
    </row>
    <row r="43" spans="1:7" ht="15" hidden="1" thickBot="1" x14ac:dyDescent="0.35">
      <c r="A43">
        <f t="shared" si="2"/>
        <v>0</v>
      </c>
      <c r="B43" s="365">
        <f>'Worksheet (6)'!B43</f>
        <v>11014</v>
      </c>
      <c r="C43" s="364">
        <f>VLOOKUP(B43,neracalajur,2,0)</f>
        <v>0</v>
      </c>
      <c r="D43" s="90" t="str">
        <f>VLOOKUP(B43,neracalajur,3,0)</f>
        <v>Db</v>
      </c>
      <c r="E43" s="89">
        <f ca="1">VLOOKUP(B43,neracalajur,17,0)</f>
        <v>0</v>
      </c>
      <c r="F43" s="56">
        <f>VLOOKUP(B43,neracalajur,18,0)</f>
        <v>0</v>
      </c>
      <c r="G43" s="143">
        <f t="shared" ca="1" si="11"/>
        <v>0</v>
      </c>
    </row>
    <row r="44" spans="1:7" ht="15" hidden="1" thickBot="1" x14ac:dyDescent="0.35">
      <c r="A44">
        <f t="shared" si="2"/>
        <v>0</v>
      </c>
      <c r="B44" s="365">
        <f>'Worksheet (6)'!B44</f>
        <v>11015</v>
      </c>
      <c r="C44" s="364">
        <f>VLOOKUP(B44,neracalajur,2,0)</f>
        <v>0</v>
      </c>
      <c r="D44" s="90" t="str">
        <f>VLOOKUP(B44,neracalajur,3,0)</f>
        <v>Db</v>
      </c>
      <c r="E44" s="89">
        <f ca="1">VLOOKUP(B44,neracalajur,17,0)</f>
        <v>0</v>
      </c>
      <c r="F44" s="56">
        <f>VLOOKUP(B44,neracalajur,18,0)</f>
        <v>0</v>
      </c>
      <c r="G44" s="143">
        <f t="shared" ca="1" si="11"/>
        <v>0</v>
      </c>
    </row>
    <row r="45" spans="1:7" ht="15" hidden="1" thickBot="1" x14ac:dyDescent="0.35">
      <c r="A45">
        <f t="shared" si="2"/>
        <v>0</v>
      </c>
      <c r="B45" s="365">
        <f>'Worksheet (6)'!B45</f>
        <v>11016</v>
      </c>
      <c r="C45" s="364">
        <f>VLOOKUP(B45,neracalajur,2,0)</f>
        <v>0</v>
      </c>
      <c r="D45" s="90" t="str">
        <f>VLOOKUP(B45,neracalajur,3,0)</f>
        <v>Db</v>
      </c>
      <c r="E45" s="89">
        <f ca="1">VLOOKUP(B45,neracalajur,17,0)</f>
        <v>0</v>
      </c>
      <c r="F45" s="56">
        <f>VLOOKUP(B45,neracalajur,18,0)</f>
        <v>0</v>
      </c>
      <c r="G45" s="143">
        <f t="shared" ca="1" si="11"/>
        <v>0</v>
      </c>
    </row>
    <row r="46" spans="1:7" ht="15" hidden="1" thickBot="1" x14ac:dyDescent="0.35">
      <c r="A46">
        <f t="shared" si="2"/>
        <v>0</v>
      </c>
      <c r="B46" s="365">
        <f>'Worksheet (6)'!B46</f>
        <v>11017</v>
      </c>
      <c r="C46" s="364">
        <f>VLOOKUP(B46,neracalajur,2,0)</f>
        <v>0</v>
      </c>
      <c r="D46" s="90" t="str">
        <f>VLOOKUP(B46,neracalajur,3,0)</f>
        <v>Db</v>
      </c>
      <c r="E46" s="89">
        <f ca="1">VLOOKUP(B46,neracalajur,17,0)</f>
        <v>0</v>
      </c>
      <c r="F46" s="56">
        <f>VLOOKUP(B46,neracalajur,18,0)</f>
        <v>0</v>
      </c>
      <c r="G46" s="143">
        <f t="shared" ca="1" si="11"/>
        <v>0</v>
      </c>
    </row>
    <row r="47" spans="1:7" ht="15" hidden="1" thickBot="1" x14ac:dyDescent="0.35">
      <c r="A47">
        <f t="shared" si="2"/>
        <v>0</v>
      </c>
      <c r="B47" s="365">
        <f>'Worksheet (6)'!B47</f>
        <v>11018</v>
      </c>
      <c r="C47" s="364">
        <f>VLOOKUP(B47,neracalajur,2,0)</f>
        <v>0</v>
      </c>
      <c r="D47" s="90" t="str">
        <f>VLOOKUP(B47,neracalajur,3,0)</f>
        <v>Db</v>
      </c>
      <c r="E47" s="89">
        <f ca="1">VLOOKUP(B47,neracalajur,17,0)</f>
        <v>0</v>
      </c>
      <c r="F47" s="56">
        <f>VLOOKUP(B47,neracalajur,18,0)</f>
        <v>0</v>
      </c>
      <c r="G47" s="143">
        <f t="shared" ca="1" si="11"/>
        <v>0</v>
      </c>
    </row>
    <row r="48" spans="1:7" ht="15" hidden="1" thickBot="1" x14ac:dyDescent="0.35">
      <c r="A48">
        <f t="shared" si="2"/>
        <v>0</v>
      </c>
      <c r="B48" s="365">
        <f>'Worksheet (6)'!B48</f>
        <v>11019</v>
      </c>
      <c r="C48" s="364">
        <f>VLOOKUP(B48,neracalajur,2,0)</f>
        <v>0</v>
      </c>
      <c r="D48" s="90" t="str">
        <f>VLOOKUP(B48,neracalajur,3,0)</f>
        <v>Db</v>
      </c>
      <c r="E48" s="89">
        <f ca="1">VLOOKUP(B48,neracalajur,17,0)</f>
        <v>0</v>
      </c>
      <c r="F48" s="56">
        <f>VLOOKUP(B48,neracalajur,18,0)</f>
        <v>0</v>
      </c>
      <c r="G48" s="143">
        <f t="shared" ca="1" si="11"/>
        <v>0</v>
      </c>
    </row>
    <row r="49" spans="1:8" ht="15" hidden="1" thickBot="1" x14ac:dyDescent="0.35">
      <c r="A49">
        <f t="shared" si="2"/>
        <v>0</v>
      </c>
      <c r="B49" s="365">
        <f>'Worksheet (6)'!B49</f>
        <v>11020</v>
      </c>
      <c r="C49" s="364">
        <f>VLOOKUP(B49,neracalajur,2,0)</f>
        <v>0</v>
      </c>
      <c r="D49" s="90" t="str">
        <f>VLOOKUP(B49,neracalajur,3,0)</f>
        <v>Db</v>
      </c>
      <c r="E49" s="89">
        <f ca="1">VLOOKUP(B49,neracalajur,17,0)</f>
        <v>0</v>
      </c>
      <c r="F49" s="56">
        <f>VLOOKUP(B49,neracalajur,18,0)</f>
        <v>0</v>
      </c>
      <c r="G49" s="143">
        <f t="shared" ca="1" si="11"/>
        <v>0</v>
      </c>
    </row>
    <row r="50" spans="1:8" ht="15" thickBot="1" x14ac:dyDescent="0.35">
      <c r="A50">
        <f t="shared" si="2"/>
        <v>1</v>
      </c>
      <c r="B50" s="140"/>
      <c r="C50" s="92" t="s">
        <v>136</v>
      </c>
      <c r="D50" s="78" t="s">
        <v>61</v>
      </c>
      <c r="E50" s="79">
        <f ca="1">SUM(E29:E49)</f>
        <v>0</v>
      </c>
      <c r="F50" s="79">
        <f ca="1">SUM(F29:F49)</f>
        <v>0</v>
      </c>
      <c r="G50" s="136">
        <f ca="1">IF(E50&gt;F50,E50-F50,F50-E50)</f>
        <v>0</v>
      </c>
    </row>
    <row r="51" spans="1:8" ht="15" thickBot="1" x14ac:dyDescent="0.35">
      <c r="A51">
        <f t="shared" si="2"/>
        <v>1</v>
      </c>
      <c r="B51" s="211"/>
      <c r="C51" s="366" t="s">
        <v>135</v>
      </c>
      <c r="D51" s="154" t="s">
        <v>61</v>
      </c>
      <c r="E51" s="367">
        <f ca="1">E28+E50</f>
        <v>590000</v>
      </c>
      <c r="F51" s="135">
        <f ca="1">F28+F50</f>
        <v>0</v>
      </c>
      <c r="G51" s="156">
        <f ca="1">G28+G50</f>
        <v>590000</v>
      </c>
      <c r="H51" s="66"/>
    </row>
    <row r="52" spans="1:8" x14ac:dyDescent="0.3">
      <c r="A52">
        <f t="shared" si="2"/>
        <v>1</v>
      </c>
      <c r="B52" s="369">
        <f>'Worksheet (6)'!B50</f>
        <v>20000</v>
      </c>
      <c r="C52" s="370" t="str">
        <f t="shared" ref="C52:C53" si="12">VLOOKUP(B52,neracalajur,2,0)</f>
        <v>Utang/liability</v>
      </c>
      <c r="D52" s="90" t="str">
        <f t="shared" ref="D52:D53" si="13">VLOOKUP(B52,neracalajur,3,0)</f>
        <v>Db</v>
      </c>
      <c r="E52" s="89">
        <f t="shared" ref="E52:E53" ca="1" si="14">VLOOKUP(B52,neracalajur,17,0)</f>
        <v>0</v>
      </c>
      <c r="F52" s="56">
        <f t="shared" ref="F52:F53" si="15">VLOOKUP(B52,neracalajur,18,0)</f>
        <v>0</v>
      </c>
      <c r="G52" s="143">
        <f t="shared" ref="G52:G53" ca="1" si="16">IF(D52="Kr",F52-E52,E52-F52)</f>
        <v>0</v>
      </c>
    </row>
    <row r="53" spans="1:8" x14ac:dyDescent="0.3">
      <c r="A53">
        <f t="shared" si="2"/>
        <v>1</v>
      </c>
      <c r="B53" s="158">
        <f>'Worksheet (6)'!B51</f>
        <v>20001</v>
      </c>
      <c r="C53" s="83" t="str">
        <f t="shared" si="12"/>
        <v>Utang Usaha/Dagang</v>
      </c>
      <c r="D53" s="90" t="str">
        <f t="shared" si="13"/>
        <v>Db</v>
      </c>
      <c r="E53" s="89">
        <f t="shared" ca="1" si="14"/>
        <v>0</v>
      </c>
      <c r="F53" s="56">
        <f t="shared" si="15"/>
        <v>0</v>
      </c>
      <c r="G53" s="143">
        <f t="shared" ca="1" si="16"/>
        <v>0</v>
      </c>
    </row>
    <row r="54" spans="1:8" x14ac:dyDescent="0.3">
      <c r="A54">
        <f t="shared" si="2"/>
        <v>1</v>
      </c>
      <c r="B54" s="158">
        <f>'Worksheet (6)'!B52</f>
        <v>20002</v>
      </c>
      <c r="C54" s="83" t="str">
        <f t="shared" ref="C54:C72" si="17">VLOOKUP(B54,neracalajur,2,0)</f>
        <v>Utang Wesel</v>
      </c>
      <c r="D54" s="90" t="str">
        <f t="shared" ref="D54:D72" si="18">VLOOKUP(B54,neracalajur,3,0)</f>
        <v>Db</v>
      </c>
      <c r="E54" s="89">
        <f t="shared" ref="E54:E72" ca="1" si="19">VLOOKUP(B54,neracalajur,17,0)</f>
        <v>0</v>
      </c>
      <c r="F54" s="56">
        <f t="shared" ref="F54:F72" si="20">VLOOKUP(B54,neracalajur,18,0)</f>
        <v>0</v>
      </c>
      <c r="G54" s="143">
        <f t="shared" ref="G54:G72" ca="1" si="21">IF(D54="Kr",F54-E54,E54-F54)</f>
        <v>0</v>
      </c>
    </row>
    <row r="55" spans="1:8" x14ac:dyDescent="0.3">
      <c r="A55">
        <f t="shared" si="2"/>
        <v>1</v>
      </c>
      <c r="B55" s="158">
        <f>'Worksheet (6)'!B53</f>
        <v>20003</v>
      </c>
      <c r="C55" s="83" t="str">
        <f t="shared" si="17"/>
        <v>Utang Gaji</v>
      </c>
      <c r="D55" s="90" t="str">
        <f t="shared" si="18"/>
        <v>Db</v>
      </c>
      <c r="E55" s="89">
        <f t="shared" ca="1" si="19"/>
        <v>0</v>
      </c>
      <c r="F55" s="56">
        <f t="shared" si="20"/>
        <v>0</v>
      </c>
      <c r="G55" s="143">
        <f t="shared" ca="1" si="21"/>
        <v>0</v>
      </c>
    </row>
    <row r="56" spans="1:8" x14ac:dyDescent="0.3">
      <c r="A56">
        <f t="shared" si="2"/>
        <v>1</v>
      </c>
      <c r="B56" s="158">
        <f>'Worksheet (6)'!B54</f>
        <v>20004</v>
      </c>
      <c r="C56" s="83" t="str">
        <f t="shared" si="17"/>
        <v>Utang Pajak Penghasilan</v>
      </c>
      <c r="D56" s="90" t="str">
        <f t="shared" si="18"/>
        <v>Db</v>
      </c>
      <c r="E56" s="89">
        <f t="shared" ca="1" si="19"/>
        <v>0</v>
      </c>
      <c r="F56" s="56">
        <f t="shared" si="20"/>
        <v>0</v>
      </c>
      <c r="G56" s="143">
        <f t="shared" ca="1" si="21"/>
        <v>0</v>
      </c>
    </row>
    <row r="57" spans="1:8" x14ac:dyDescent="0.3">
      <c r="A57">
        <f t="shared" si="2"/>
        <v>1</v>
      </c>
      <c r="B57" s="158">
        <f>'Worksheet (6)'!B55</f>
        <v>20005</v>
      </c>
      <c r="C57" s="83" t="str">
        <f t="shared" si="17"/>
        <v>Utang Hipotek</v>
      </c>
      <c r="D57" s="90" t="str">
        <f t="shared" si="18"/>
        <v>Db</v>
      </c>
      <c r="E57" s="89">
        <f t="shared" ca="1" si="19"/>
        <v>0</v>
      </c>
      <c r="F57" s="56">
        <f t="shared" si="20"/>
        <v>0</v>
      </c>
      <c r="G57" s="143">
        <f t="shared" ca="1" si="21"/>
        <v>0</v>
      </c>
    </row>
    <row r="58" spans="1:8" x14ac:dyDescent="0.3">
      <c r="A58">
        <f t="shared" si="2"/>
        <v>1</v>
      </c>
      <c r="B58" s="158">
        <f>'Worksheet (6)'!B56</f>
        <v>20006</v>
      </c>
      <c r="C58" s="83" t="str">
        <f t="shared" si="17"/>
        <v>Utang Obligasi</v>
      </c>
      <c r="D58" s="90" t="str">
        <f t="shared" si="18"/>
        <v>Db</v>
      </c>
      <c r="E58" s="89">
        <f t="shared" ca="1" si="19"/>
        <v>0</v>
      </c>
      <c r="F58" s="56">
        <f t="shared" si="20"/>
        <v>0</v>
      </c>
      <c r="G58" s="143">
        <f t="shared" ca="1" si="21"/>
        <v>0</v>
      </c>
    </row>
    <row r="59" spans="1:8" x14ac:dyDescent="0.3">
      <c r="A59">
        <f t="shared" si="2"/>
        <v>1</v>
      </c>
      <c r="B59" s="158">
        <f>'Worksheet (6)'!B57</f>
        <v>20007</v>
      </c>
      <c r="C59" s="83" t="str">
        <f t="shared" si="17"/>
        <v>Pendapatan Diterima Dimuka</v>
      </c>
      <c r="D59" s="90" t="str">
        <f t="shared" si="18"/>
        <v>Db</v>
      </c>
      <c r="E59" s="89">
        <f t="shared" ca="1" si="19"/>
        <v>0</v>
      </c>
      <c r="F59" s="56">
        <f t="shared" si="20"/>
        <v>0</v>
      </c>
      <c r="G59" s="143">
        <f t="shared" ca="1" si="21"/>
        <v>0</v>
      </c>
    </row>
    <row r="60" spans="1:8" ht="15" thickBot="1" x14ac:dyDescent="0.35">
      <c r="A60">
        <f t="shared" si="2"/>
        <v>1</v>
      </c>
      <c r="B60" s="158">
        <f>'Worksheet (6)'!B58</f>
        <v>20008</v>
      </c>
      <c r="C60" s="83" t="str">
        <f t="shared" si="17"/>
        <v>Utang Utilitas</v>
      </c>
      <c r="D60" s="90" t="str">
        <f t="shared" si="18"/>
        <v>Db</v>
      </c>
      <c r="E60" s="89">
        <f t="shared" ca="1" si="19"/>
        <v>0</v>
      </c>
      <c r="F60" s="56">
        <f t="shared" si="20"/>
        <v>0</v>
      </c>
      <c r="G60" s="143">
        <f t="shared" ca="1" si="21"/>
        <v>0</v>
      </c>
    </row>
    <row r="61" spans="1:8" ht="15" hidden="1" thickBot="1" x14ac:dyDescent="0.35">
      <c r="A61">
        <f t="shared" si="2"/>
        <v>0</v>
      </c>
      <c r="B61" s="158">
        <f>'Worksheet (6)'!B59</f>
        <v>20009</v>
      </c>
      <c r="C61" s="83">
        <f t="shared" si="17"/>
        <v>0</v>
      </c>
      <c r="D61" s="90" t="str">
        <f t="shared" si="18"/>
        <v>Db</v>
      </c>
      <c r="E61" s="89">
        <f t="shared" ca="1" si="19"/>
        <v>0</v>
      </c>
      <c r="F61" s="56">
        <f t="shared" si="20"/>
        <v>0</v>
      </c>
      <c r="G61" s="143">
        <f t="shared" ca="1" si="21"/>
        <v>0</v>
      </c>
    </row>
    <row r="62" spans="1:8" ht="15" hidden="1" thickBot="1" x14ac:dyDescent="0.35">
      <c r="A62">
        <f t="shared" si="2"/>
        <v>0</v>
      </c>
      <c r="B62" s="158">
        <f>'Worksheet (6)'!B60</f>
        <v>20010</v>
      </c>
      <c r="C62" s="83">
        <f t="shared" si="17"/>
        <v>0</v>
      </c>
      <c r="D62" s="90" t="str">
        <f t="shared" si="18"/>
        <v>Db</v>
      </c>
      <c r="E62" s="89">
        <f t="shared" ca="1" si="19"/>
        <v>0</v>
      </c>
      <c r="F62" s="56">
        <f t="shared" si="20"/>
        <v>0</v>
      </c>
      <c r="G62" s="143">
        <f t="shared" ca="1" si="21"/>
        <v>0</v>
      </c>
    </row>
    <row r="63" spans="1:8" ht="15" hidden="1" thickBot="1" x14ac:dyDescent="0.35">
      <c r="A63">
        <f t="shared" si="2"/>
        <v>0</v>
      </c>
      <c r="B63" s="158">
        <f>'Worksheet (6)'!B61</f>
        <v>20011</v>
      </c>
      <c r="C63" s="83">
        <f t="shared" si="17"/>
        <v>0</v>
      </c>
      <c r="D63" s="90" t="str">
        <f t="shared" si="18"/>
        <v>Db</v>
      </c>
      <c r="E63" s="89">
        <f t="shared" ca="1" si="19"/>
        <v>0</v>
      </c>
      <c r="F63" s="56">
        <f t="shared" si="20"/>
        <v>0</v>
      </c>
      <c r="G63" s="143">
        <f t="shared" ca="1" si="21"/>
        <v>0</v>
      </c>
    </row>
    <row r="64" spans="1:8" ht="15" hidden="1" thickBot="1" x14ac:dyDescent="0.35">
      <c r="A64">
        <f t="shared" si="2"/>
        <v>0</v>
      </c>
      <c r="B64" s="158">
        <f>'Worksheet (6)'!B62</f>
        <v>20012</v>
      </c>
      <c r="C64" s="83">
        <f t="shared" si="17"/>
        <v>0</v>
      </c>
      <c r="D64" s="90" t="str">
        <f t="shared" si="18"/>
        <v>Db</v>
      </c>
      <c r="E64" s="89">
        <f t="shared" ca="1" si="19"/>
        <v>0</v>
      </c>
      <c r="F64" s="56">
        <f t="shared" si="20"/>
        <v>0</v>
      </c>
      <c r="G64" s="143">
        <f t="shared" ca="1" si="21"/>
        <v>0</v>
      </c>
    </row>
    <row r="65" spans="1:7" ht="15" hidden="1" thickBot="1" x14ac:dyDescent="0.35">
      <c r="A65">
        <f t="shared" si="2"/>
        <v>0</v>
      </c>
      <c r="B65" s="158">
        <f>'Worksheet (6)'!B63</f>
        <v>20013</v>
      </c>
      <c r="C65" s="83">
        <f t="shared" si="17"/>
        <v>0</v>
      </c>
      <c r="D65" s="90" t="str">
        <f t="shared" si="18"/>
        <v>Db</v>
      </c>
      <c r="E65" s="89">
        <f t="shared" ca="1" si="19"/>
        <v>0</v>
      </c>
      <c r="F65" s="56">
        <f t="shared" si="20"/>
        <v>0</v>
      </c>
      <c r="G65" s="143">
        <f t="shared" ca="1" si="21"/>
        <v>0</v>
      </c>
    </row>
    <row r="66" spans="1:7" ht="15" hidden="1" thickBot="1" x14ac:dyDescent="0.35">
      <c r="A66">
        <f t="shared" si="2"/>
        <v>0</v>
      </c>
      <c r="B66" s="158">
        <f>'Worksheet (6)'!B64</f>
        <v>20014</v>
      </c>
      <c r="C66" s="83">
        <f t="shared" si="17"/>
        <v>0</v>
      </c>
      <c r="D66" s="90" t="str">
        <f t="shared" si="18"/>
        <v>Db</v>
      </c>
      <c r="E66" s="89">
        <f t="shared" ca="1" si="19"/>
        <v>0</v>
      </c>
      <c r="F66" s="56">
        <f t="shared" si="20"/>
        <v>0</v>
      </c>
      <c r="G66" s="143">
        <f t="shared" ca="1" si="21"/>
        <v>0</v>
      </c>
    </row>
    <row r="67" spans="1:7" ht="15" hidden="1" thickBot="1" x14ac:dyDescent="0.35">
      <c r="A67">
        <f t="shared" si="2"/>
        <v>0</v>
      </c>
      <c r="B67" s="158">
        <f>'Worksheet (6)'!B65</f>
        <v>20015</v>
      </c>
      <c r="C67" s="83">
        <f t="shared" si="17"/>
        <v>0</v>
      </c>
      <c r="D67" s="90" t="str">
        <f t="shared" si="18"/>
        <v>Db</v>
      </c>
      <c r="E67" s="89">
        <f t="shared" ca="1" si="19"/>
        <v>0</v>
      </c>
      <c r="F67" s="56">
        <f t="shared" si="20"/>
        <v>0</v>
      </c>
      <c r="G67" s="143">
        <f t="shared" ca="1" si="21"/>
        <v>0</v>
      </c>
    </row>
    <row r="68" spans="1:7" ht="15" hidden="1" thickBot="1" x14ac:dyDescent="0.35">
      <c r="A68">
        <f t="shared" si="2"/>
        <v>0</v>
      </c>
      <c r="B68" s="158">
        <f>'Worksheet (6)'!B66</f>
        <v>20016</v>
      </c>
      <c r="C68" s="83">
        <f t="shared" si="17"/>
        <v>0</v>
      </c>
      <c r="D68" s="90" t="str">
        <f t="shared" si="18"/>
        <v>Db</v>
      </c>
      <c r="E68" s="89">
        <f t="shared" ca="1" si="19"/>
        <v>0</v>
      </c>
      <c r="F68" s="56">
        <f t="shared" si="20"/>
        <v>0</v>
      </c>
      <c r="G68" s="143">
        <f t="shared" ca="1" si="21"/>
        <v>0</v>
      </c>
    </row>
    <row r="69" spans="1:7" ht="15" hidden="1" thickBot="1" x14ac:dyDescent="0.35">
      <c r="A69">
        <f t="shared" si="2"/>
        <v>0</v>
      </c>
      <c r="B69" s="158">
        <f>'Worksheet (6)'!B67</f>
        <v>20017</v>
      </c>
      <c r="C69" s="83">
        <f t="shared" si="17"/>
        <v>0</v>
      </c>
      <c r="D69" s="90" t="str">
        <f t="shared" si="18"/>
        <v>Db</v>
      </c>
      <c r="E69" s="89">
        <f t="shared" ca="1" si="19"/>
        <v>0</v>
      </c>
      <c r="F69" s="56">
        <f t="shared" si="20"/>
        <v>0</v>
      </c>
      <c r="G69" s="143">
        <f t="shared" ca="1" si="21"/>
        <v>0</v>
      </c>
    </row>
    <row r="70" spans="1:7" ht="15" hidden="1" thickBot="1" x14ac:dyDescent="0.35">
      <c r="A70">
        <f t="shared" si="2"/>
        <v>0</v>
      </c>
      <c r="B70" s="158">
        <f>'Worksheet (6)'!B68</f>
        <v>20018</v>
      </c>
      <c r="C70" s="83">
        <f t="shared" si="17"/>
        <v>0</v>
      </c>
      <c r="D70" s="90" t="str">
        <f t="shared" si="18"/>
        <v>Db</v>
      </c>
      <c r="E70" s="89">
        <f t="shared" ca="1" si="19"/>
        <v>0</v>
      </c>
      <c r="F70" s="56">
        <f t="shared" si="20"/>
        <v>0</v>
      </c>
      <c r="G70" s="143">
        <f t="shared" ca="1" si="21"/>
        <v>0</v>
      </c>
    </row>
    <row r="71" spans="1:7" ht="15" hidden="1" thickBot="1" x14ac:dyDescent="0.35">
      <c r="A71">
        <f t="shared" si="2"/>
        <v>0</v>
      </c>
      <c r="B71" s="158">
        <f>'Worksheet (6)'!B69</f>
        <v>20019</v>
      </c>
      <c r="C71" s="83">
        <f t="shared" si="17"/>
        <v>0</v>
      </c>
      <c r="D71" s="90" t="str">
        <f t="shared" si="18"/>
        <v>Db</v>
      </c>
      <c r="E71" s="89">
        <f t="shared" ca="1" si="19"/>
        <v>0</v>
      </c>
      <c r="F71" s="56">
        <f t="shared" si="20"/>
        <v>0</v>
      </c>
      <c r="G71" s="143">
        <f t="shared" ca="1" si="21"/>
        <v>0</v>
      </c>
    </row>
    <row r="72" spans="1:7" ht="15" hidden="1" thickBot="1" x14ac:dyDescent="0.35">
      <c r="A72">
        <f t="shared" ref="A72:A89" si="22">IF(C72=0,0,1)</f>
        <v>0</v>
      </c>
      <c r="B72" s="158">
        <f>'Worksheet (6)'!B70</f>
        <v>20020</v>
      </c>
      <c r="C72" s="83">
        <f t="shared" si="17"/>
        <v>0</v>
      </c>
      <c r="D72" s="90" t="str">
        <f t="shared" si="18"/>
        <v>Db</v>
      </c>
      <c r="E72" s="89">
        <f t="shared" ca="1" si="19"/>
        <v>0</v>
      </c>
      <c r="F72" s="56">
        <f t="shared" si="20"/>
        <v>0</v>
      </c>
      <c r="G72" s="143">
        <f t="shared" ca="1" si="21"/>
        <v>0</v>
      </c>
    </row>
    <row r="73" spans="1:7" ht="15" thickBot="1" x14ac:dyDescent="0.35">
      <c r="A73">
        <f t="shared" si="22"/>
        <v>1</v>
      </c>
      <c r="B73" s="140"/>
      <c r="C73" s="92" t="s">
        <v>141</v>
      </c>
      <c r="D73" s="78" t="s">
        <v>61</v>
      </c>
      <c r="E73" s="79">
        <f ca="1">SUM(E52:E72)</f>
        <v>0</v>
      </c>
      <c r="F73" s="79">
        <f>SUM(F52:F72)</f>
        <v>0</v>
      </c>
      <c r="G73" s="76">
        <f ca="1">IF(E73&gt;F73,E73-F73,F73-E73)</f>
        <v>0</v>
      </c>
    </row>
    <row r="74" spans="1:7" x14ac:dyDescent="0.3">
      <c r="A74">
        <f t="shared" si="22"/>
        <v>1</v>
      </c>
      <c r="B74" s="139">
        <f>'Worksheet (6)'!B71</f>
        <v>21000</v>
      </c>
      <c r="C74" s="87" t="str">
        <f>VLOOKUP(B74,neracalajur,2,0)</f>
        <v>Utang non operasional</v>
      </c>
      <c r="D74" s="85" t="str">
        <f t="shared" ref="D74:D77" si="23">VLOOKUP(B74,neracalajur,3,0)</f>
        <v>Db</v>
      </c>
      <c r="E74" s="25">
        <f ca="1">VLOOKUP(B74,neracalajur,17,0)</f>
        <v>0</v>
      </c>
      <c r="F74" s="14">
        <f>VLOOKUP(B74,neracalajur,18,0)</f>
        <v>0</v>
      </c>
      <c r="G74" s="144">
        <f t="shared" ref="G74:G77" ca="1" si="24">IF(D74="Kr",F74-E74,E74-F74)</f>
        <v>0</v>
      </c>
    </row>
    <row r="75" spans="1:7" x14ac:dyDescent="0.3">
      <c r="A75">
        <f t="shared" si="22"/>
        <v>1</v>
      </c>
      <c r="B75" s="158">
        <f>'Worksheet (6)'!B72</f>
        <v>21001</v>
      </c>
      <c r="C75" s="83" t="str">
        <f>VLOOKUP(B75,neracalajur,2,0)</f>
        <v>Utang sewa</v>
      </c>
      <c r="D75" s="86" t="str">
        <f t="shared" si="23"/>
        <v>Db</v>
      </c>
      <c r="E75" s="84">
        <f ca="1">VLOOKUP(B75,neracalajur,17,0)</f>
        <v>0</v>
      </c>
      <c r="F75" s="54">
        <f>VLOOKUP(B75,neracalajur,18,0)</f>
        <v>0</v>
      </c>
      <c r="G75" s="142">
        <f t="shared" ca="1" si="24"/>
        <v>0</v>
      </c>
    </row>
    <row r="76" spans="1:7" x14ac:dyDescent="0.3">
      <c r="A76">
        <f t="shared" si="22"/>
        <v>1</v>
      </c>
      <c r="B76" s="158">
        <f>'Worksheet (6)'!B73</f>
        <v>21002</v>
      </c>
      <c r="C76" s="83" t="str">
        <f>VLOOKUP(B76,neracalajur,2,0)</f>
        <v>Utang Bank</v>
      </c>
      <c r="D76" s="86" t="str">
        <f t="shared" si="23"/>
        <v>Db</v>
      </c>
      <c r="E76" s="84">
        <f ca="1">VLOOKUP(B76,neracalajur,17,0)</f>
        <v>0</v>
      </c>
      <c r="F76" s="54">
        <f>VLOOKUP(B76,neracalajur,18,0)</f>
        <v>0</v>
      </c>
      <c r="G76" s="142">
        <f t="shared" ca="1" si="24"/>
        <v>0</v>
      </c>
    </row>
    <row r="77" spans="1:7" ht="15" thickBot="1" x14ac:dyDescent="0.35">
      <c r="A77">
        <f t="shared" si="22"/>
        <v>1</v>
      </c>
      <c r="B77" s="158">
        <f>'Worksheet (6)'!B74</f>
        <v>21003</v>
      </c>
      <c r="C77" s="83" t="str">
        <f>VLOOKUP(B77,neracalajur,2,0)</f>
        <v>Utang Bunga</v>
      </c>
      <c r="D77" s="90" t="str">
        <f t="shared" si="23"/>
        <v>Db</v>
      </c>
      <c r="E77" s="89">
        <f ca="1">VLOOKUP(B77,neracalajur,17,0)</f>
        <v>0</v>
      </c>
      <c r="F77" s="56">
        <f>VLOOKUP(B77,neracalajur,18,0)</f>
        <v>0</v>
      </c>
      <c r="G77" s="143">
        <f t="shared" ca="1" si="24"/>
        <v>0</v>
      </c>
    </row>
    <row r="78" spans="1:7" ht="15" hidden="1" thickBot="1" x14ac:dyDescent="0.35">
      <c r="A78">
        <f t="shared" si="22"/>
        <v>0</v>
      </c>
      <c r="B78" s="158">
        <f>'Worksheet (6)'!B75</f>
        <v>21004</v>
      </c>
      <c r="C78" s="83">
        <f>VLOOKUP(B78,neracalajur,2,0)</f>
        <v>0</v>
      </c>
      <c r="D78" s="90" t="str">
        <f t="shared" ref="D78" si="25">VLOOKUP(B78,neracalajur,3,0)</f>
        <v>Db</v>
      </c>
      <c r="E78" s="89">
        <f ca="1">VLOOKUP(B78,neracalajur,17,0)</f>
        <v>0</v>
      </c>
      <c r="F78" s="56">
        <f>VLOOKUP(B78,neracalajur,18,0)</f>
        <v>0</v>
      </c>
      <c r="G78" s="143">
        <f t="shared" ref="G78" ca="1" si="26">IF(D78="Kr",F78-E78,E78-F78)</f>
        <v>0</v>
      </c>
    </row>
    <row r="79" spans="1:7" ht="15" hidden="1" thickBot="1" x14ac:dyDescent="0.35">
      <c r="A79">
        <f t="shared" si="22"/>
        <v>0</v>
      </c>
      <c r="B79" s="158">
        <f>'Worksheet (6)'!B76</f>
        <v>21005</v>
      </c>
      <c r="C79" s="83">
        <f>VLOOKUP(B79,neracalajur,2,0)</f>
        <v>0</v>
      </c>
      <c r="D79" s="90" t="str">
        <f t="shared" ref="D79:D83" si="27">VLOOKUP(B79,neracalajur,3,0)</f>
        <v>Db</v>
      </c>
      <c r="E79" s="89">
        <f ca="1">VLOOKUP(B79,neracalajur,17,0)</f>
        <v>0</v>
      </c>
      <c r="F79" s="56">
        <f>VLOOKUP(B79,neracalajur,18,0)</f>
        <v>0</v>
      </c>
      <c r="G79" s="143">
        <f t="shared" ref="G79:G83" ca="1" si="28">IF(D79="Kr",F79-E79,E79-F79)</f>
        <v>0</v>
      </c>
    </row>
    <row r="80" spans="1:7" ht="15" hidden="1" thickBot="1" x14ac:dyDescent="0.35">
      <c r="A80">
        <f t="shared" si="22"/>
        <v>0</v>
      </c>
      <c r="B80" s="158">
        <f>'Worksheet (6)'!B77</f>
        <v>21006</v>
      </c>
      <c r="C80" s="83">
        <f>VLOOKUP(B80,neracalajur,2,0)</f>
        <v>0</v>
      </c>
      <c r="D80" s="90" t="str">
        <f t="shared" si="27"/>
        <v>Db</v>
      </c>
      <c r="E80" s="89">
        <f ca="1">VLOOKUP(B80,neracalajur,17,0)</f>
        <v>0</v>
      </c>
      <c r="F80" s="56">
        <f>VLOOKUP(B80,neracalajur,18,0)</f>
        <v>0</v>
      </c>
      <c r="G80" s="143">
        <f t="shared" ca="1" si="28"/>
        <v>0</v>
      </c>
    </row>
    <row r="81" spans="1:7" ht="15" hidden="1" thickBot="1" x14ac:dyDescent="0.35">
      <c r="A81">
        <f t="shared" si="22"/>
        <v>0</v>
      </c>
      <c r="B81" s="158">
        <f>'Worksheet (6)'!B78</f>
        <v>21007</v>
      </c>
      <c r="C81" s="83">
        <f>VLOOKUP(B81,neracalajur,2,0)</f>
        <v>0</v>
      </c>
      <c r="D81" s="90" t="str">
        <f t="shared" si="27"/>
        <v>Db</v>
      </c>
      <c r="E81" s="89">
        <f ca="1">VLOOKUP(B81,neracalajur,17,0)</f>
        <v>0</v>
      </c>
      <c r="F81" s="56">
        <f>VLOOKUP(B81,neracalajur,18,0)</f>
        <v>0</v>
      </c>
      <c r="G81" s="143">
        <f t="shared" ca="1" si="28"/>
        <v>0</v>
      </c>
    </row>
    <row r="82" spans="1:7" ht="15" hidden="1" thickBot="1" x14ac:dyDescent="0.35">
      <c r="A82">
        <f t="shared" si="22"/>
        <v>0</v>
      </c>
      <c r="B82" s="158">
        <f>'Worksheet (6)'!B79</f>
        <v>21008</v>
      </c>
      <c r="C82" s="83">
        <f>VLOOKUP(B82,neracalajur,2,0)</f>
        <v>0</v>
      </c>
      <c r="D82" s="90" t="str">
        <f t="shared" si="27"/>
        <v>Db</v>
      </c>
      <c r="E82" s="89">
        <f ca="1">VLOOKUP(B82,neracalajur,17,0)</f>
        <v>0</v>
      </c>
      <c r="F82" s="56">
        <f>VLOOKUP(B82,neracalajur,18,0)</f>
        <v>0</v>
      </c>
      <c r="G82" s="143">
        <f t="shared" ca="1" si="28"/>
        <v>0</v>
      </c>
    </row>
    <row r="83" spans="1:7" ht="15" hidden="1" thickBot="1" x14ac:dyDescent="0.35">
      <c r="A83">
        <f t="shared" si="22"/>
        <v>0</v>
      </c>
      <c r="B83" s="158">
        <f>'Worksheet (6)'!B80</f>
        <v>21009</v>
      </c>
      <c r="C83" s="83">
        <f>VLOOKUP(B83,neracalajur,2,0)</f>
        <v>0</v>
      </c>
      <c r="D83" s="90" t="str">
        <f t="shared" si="27"/>
        <v>Db</v>
      </c>
      <c r="E83" s="89">
        <f ca="1">VLOOKUP(B83,neracalajur,17,0)</f>
        <v>0</v>
      </c>
      <c r="F83" s="56">
        <f>VLOOKUP(B83,neracalajur,18,0)</f>
        <v>0</v>
      </c>
      <c r="G83" s="143">
        <f t="shared" ca="1" si="28"/>
        <v>0</v>
      </c>
    </row>
    <row r="84" spans="1:7" ht="15" hidden="1" thickBot="1" x14ac:dyDescent="0.35">
      <c r="A84">
        <f t="shared" si="22"/>
        <v>0</v>
      </c>
      <c r="B84" s="158">
        <f>'Worksheet (6)'!B81</f>
        <v>21010</v>
      </c>
      <c r="C84" s="83">
        <f>VLOOKUP(B84,neracalajur,2,0)</f>
        <v>0</v>
      </c>
      <c r="D84" s="90" t="str">
        <f t="shared" ref="D84" si="29">VLOOKUP(B84,neracalajur,3,0)</f>
        <v>Db</v>
      </c>
      <c r="E84" s="89">
        <f ca="1">VLOOKUP(B84,neracalajur,17,0)</f>
        <v>0</v>
      </c>
      <c r="F84" s="56">
        <f>VLOOKUP(B84,neracalajur,18,0)</f>
        <v>0</v>
      </c>
      <c r="G84" s="143">
        <f t="shared" ref="G84" ca="1" si="30">IF(D84="Kr",F84-E84,E84-F84)</f>
        <v>0</v>
      </c>
    </row>
    <row r="85" spans="1:7" ht="15" thickBot="1" x14ac:dyDescent="0.35">
      <c r="A85">
        <f t="shared" si="22"/>
        <v>1</v>
      </c>
      <c r="B85" s="140"/>
      <c r="C85" s="93" t="s">
        <v>142</v>
      </c>
      <c r="D85" s="78" t="s">
        <v>61</v>
      </c>
      <c r="E85" s="53">
        <f ca="1">SUM(E74:E84)</f>
        <v>0</v>
      </c>
      <c r="F85" s="53">
        <f>SUM(F74:F84)</f>
        <v>0</v>
      </c>
      <c r="G85" s="155">
        <f ca="1">IF(E85&gt;F85,E85-F85,F85-E85)</f>
        <v>0</v>
      </c>
    </row>
    <row r="86" spans="1:7" ht="15" thickBot="1" x14ac:dyDescent="0.35">
      <c r="A86">
        <f t="shared" si="22"/>
        <v>1</v>
      </c>
      <c r="B86" s="140"/>
      <c r="C86" s="94" t="s">
        <v>143</v>
      </c>
      <c r="D86" s="78" t="s">
        <v>61</v>
      </c>
      <c r="E86" s="81">
        <f ca="1">E73+E85</f>
        <v>0</v>
      </c>
      <c r="F86" s="58">
        <f>F73+F85</f>
        <v>0</v>
      </c>
      <c r="G86" s="145">
        <f ca="1">G73+G85</f>
        <v>0</v>
      </c>
    </row>
    <row r="87" spans="1:7" ht="15" thickBot="1" x14ac:dyDescent="0.35">
      <c r="A87">
        <f t="shared" si="22"/>
        <v>1</v>
      </c>
      <c r="B87" s="140">
        <v>30000</v>
      </c>
      <c r="C87" s="164" t="str">
        <f>VLOOKUP(B87,analisis,2,0)</f>
        <v>Modal/Ekuitas</v>
      </c>
      <c r="D87" s="91" t="str">
        <f>VLOOKUP(B87,neracalajur,3,0)</f>
        <v>Kr</v>
      </c>
      <c r="E87" s="25">
        <f>VLOOKUP(B87,analisis,4,0)</f>
        <v>0</v>
      </c>
      <c r="F87" s="25">
        <f ca="1">VLOOKUP(B87,analisis,3,0)</f>
        <v>590000</v>
      </c>
      <c r="G87" s="144">
        <f ca="1">IF(D87="Kr",F87-E87,E87-F87)</f>
        <v>590000</v>
      </c>
    </row>
    <row r="88" spans="1:7" ht="15" thickBot="1" x14ac:dyDescent="0.35">
      <c r="A88">
        <f t="shared" si="22"/>
        <v>1</v>
      </c>
      <c r="B88" s="139"/>
      <c r="C88" s="93" t="s">
        <v>144</v>
      </c>
      <c r="D88" s="78" t="s">
        <v>61</v>
      </c>
      <c r="E88" s="82">
        <f>SUM(E87:E87)</f>
        <v>0</v>
      </c>
      <c r="F88" s="57">
        <f ca="1">SUM(F87:F87)</f>
        <v>590000</v>
      </c>
      <c r="G88" s="136">
        <f ca="1">F88-E88</f>
        <v>590000</v>
      </c>
    </row>
    <row r="89" spans="1:7" ht="15" thickBot="1" x14ac:dyDescent="0.35">
      <c r="A89">
        <f t="shared" si="22"/>
        <v>1</v>
      </c>
      <c r="B89" s="138"/>
      <c r="C89" s="94" t="s">
        <v>147</v>
      </c>
      <c r="D89" s="78" t="s">
        <v>61</v>
      </c>
      <c r="E89" s="225" t="str">
        <f ca="1">IF(G51=G89,"Balance","Error")</f>
        <v>Balance</v>
      </c>
      <c r="F89" s="227"/>
      <c r="G89" s="156">
        <f ca="1">G86+G88</f>
        <v>590000</v>
      </c>
    </row>
  </sheetData>
  <autoFilter ref="A6:A89" xr:uid="{0F1C69FF-4F96-46BB-8AA5-35C5896E8BB0}">
    <filterColumn colId="0">
      <filters>
        <filter val="1"/>
      </filters>
    </filterColumn>
  </autoFilter>
  <mergeCells count="5">
    <mergeCell ref="E89:F89"/>
    <mergeCell ref="B2:G2"/>
    <mergeCell ref="B3:G3"/>
    <mergeCell ref="B4:G4"/>
    <mergeCell ref="B5:G5"/>
  </mergeCells>
  <conditionalFormatting sqref="E89:F89">
    <cfRule type="cellIs" dxfId="5" priority="11" operator="equal">
      <formula>$G$51=$G$89</formula>
    </cfRule>
  </conditionalFormatting>
  <pageMargins left="0.7" right="0.7" top="0.75" bottom="0.75" header="0.3" footer="0.3"/>
  <pageSetup orientation="portrait" horizontalDpi="0" verticalDpi="0" r:id="rId1"/>
  <ignoredErrors>
    <ignoredError sqref="E28:G28 E73:G73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equal" id="{2D4BF552-1661-4A04-985A-FEC33DC3B1D1}">
            <xm:f>'Control Panel (x)'!$B$6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9" operator="equal" id="{761754E0-30D1-48B8-9C28-1138E0368651}">
            <xm:f>'Control Panel (x)'!$B$7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0" operator="containsText" id="{AC5C4E3C-DA17-41D3-9EED-CE84936586B4}">
            <xm:f>NOT(ISERROR(SEARCH($E$89,E89)))</xm:f>
            <xm:f>$E$89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2" operator="containsText" id="{7655D7B7-8308-478F-ABBD-6E0AF9FCD2C5}">
            <xm:f>NOT(ISERROR(SEARCH($E$89,E89)))</xm:f>
            <xm:f>$E$89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E89:F89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E805-F883-4859-933C-ED4847D36AAB}">
  <dimension ref="B1:F35"/>
  <sheetViews>
    <sheetView tabSelected="1" zoomScale="95" zoomScaleNormal="95" workbookViewId="0">
      <selection activeCell="H31" sqref="H31"/>
    </sheetView>
  </sheetViews>
  <sheetFormatPr defaultRowHeight="14.4" x14ac:dyDescent="0.3"/>
  <cols>
    <col min="2" max="2" width="48.109375" customWidth="1"/>
    <col min="3" max="4" width="15.44140625" customWidth="1"/>
    <col min="5" max="5" width="14.88671875" bestFit="1" customWidth="1"/>
    <col min="6" max="6" width="12.5546875" bestFit="1" customWidth="1"/>
  </cols>
  <sheetData>
    <row r="1" spans="2:6" ht="15" thickBot="1" x14ac:dyDescent="0.35"/>
    <row r="2" spans="2:6" x14ac:dyDescent="0.3">
      <c r="B2" s="236" t="str">
        <f>'Closing Journal (11)'!B2:F2</f>
        <v>CV Max Picture</v>
      </c>
      <c r="C2" s="237"/>
      <c r="D2" s="238"/>
    </row>
    <row r="3" spans="2:6" x14ac:dyDescent="0.3">
      <c r="B3" s="239" t="s">
        <v>185</v>
      </c>
      <c r="C3" s="215"/>
      <c r="D3" s="240"/>
    </row>
    <row r="4" spans="2:6" ht="15" thickBot="1" x14ac:dyDescent="0.35">
      <c r="B4" s="241" t="str">
        <f>'Closing Journal (11)'!B4:F4</f>
        <v>Periode Desember 2021</v>
      </c>
      <c r="C4" s="242"/>
      <c r="D4" s="243"/>
    </row>
    <row r="5" spans="2:6" x14ac:dyDescent="0.3">
      <c r="B5" s="278" t="s">
        <v>208</v>
      </c>
      <c r="C5" s="276" t="s">
        <v>207</v>
      </c>
      <c r="D5" s="277"/>
    </row>
    <row r="6" spans="2:6" ht="15" thickBot="1" x14ac:dyDescent="0.35">
      <c r="B6" s="279"/>
      <c r="C6" s="200" t="s">
        <v>213</v>
      </c>
      <c r="D6" s="179" t="s">
        <v>123</v>
      </c>
    </row>
    <row r="7" spans="2:6" x14ac:dyDescent="0.3">
      <c r="B7" s="193" t="s">
        <v>186</v>
      </c>
      <c r="C7" s="201"/>
      <c r="D7" s="185"/>
    </row>
    <row r="8" spans="2:6" x14ac:dyDescent="0.3">
      <c r="B8" s="194" t="s">
        <v>187</v>
      </c>
      <c r="C8" s="202"/>
      <c r="D8" s="186"/>
    </row>
    <row r="9" spans="2:6" x14ac:dyDescent="0.3">
      <c r="B9" s="195" t="s">
        <v>188</v>
      </c>
      <c r="C9" s="202">
        <v>0</v>
      </c>
      <c r="D9" s="186"/>
    </row>
    <row r="10" spans="2:6" x14ac:dyDescent="0.3">
      <c r="B10" s="194" t="s">
        <v>189</v>
      </c>
      <c r="C10" s="202"/>
      <c r="D10" s="186"/>
    </row>
    <row r="11" spans="2:6" x14ac:dyDescent="0.3">
      <c r="B11" s="195" t="s">
        <v>209</v>
      </c>
      <c r="C11" s="120"/>
      <c r="D11" s="186">
        <v>24000000</v>
      </c>
    </row>
    <row r="12" spans="2:6" x14ac:dyDescent="0.3">
      <c r="B12" s="195" t="s">
        <v>193</v>
      </c>
      <c r="C12" s="120"/>
      <c r="D12" s="186">
        <v>15500000</v>
      </c>
    </row>
    <row r="13" spans="2:6" x14ac:dyDescent="0.3">
      <c r="B13" s="195" t="s">
        <v>190</v>
      </c>
      <c r="C13" s="120"/>
      <c r="D13" s="186">
        <v>0</v>
      </c>
    </row>
    <row r="14" spans="2:6" x14ac:dyDescent="0.3">
      <c r="B14" s="195" t="s">
        <v>191</v>
      </c>
      <c r="C14" s="120"/>
      <c r="D14" s="186">
        <v>0</v>
      </c>
    </row>
    <row r="15" spans="2:6" x14ac:dyDescent="0.3">
      <c r="B15" s="194" t="s">
        <v>192</v>
      </c>
      <c r="C15" s="120"/>
      <c r="D15" s="187">
        <f>-SUM(D11:D14)</f>
        <v>-39500000</v>
      </c>
    </row>
    <row r="16" spans="2:6" x14ac:dyDescent="0.3">
      <c r="B16" s="196"/>
      <c r="C16" s="203"/>
      <c r="D16" s="188"/>
      <c r="F16" s="18"/>
    </row>
    <row r="17" spans="2:4" x14ac:dyDescent="0.3">
      <c r="B17" s="197" t="s">
        <v>194</v>
      </c>
      <c r="C17" s="203"/>
      <c r="D17" s="188"/>
    </row>
    <row r="18" spans="2:4" x14ac:dyDescent="0.3">
      <c r="B18" s="195" t="s">
        <v>187</v>
      </c>
      <c r="C18" s="203"/>
      <c r="D18" s="188"/>
    </row>
    <row r="19" spans="2:4" x14ac:dyDescent="0.3">
      <c r="B19" s="195" t="s">
        <v>196</v>
      </c>
      <c r="C19" s="204">
        <v>0</v>
      </c>
      <c r="D19" s="189"/>
    </row>
    <row r="20" spans="2:4" x14ac:dyDescent="0.3">
      <c r="B20" s="195" t="s">
        <v>197</v>
      </c>
      <c r="C20" s="203"/>
      <c r="D20" s="188"/>
    </row>
    <row r="21" spans="2:4" x14ac:dyDescent="0.3">
      <c r="B21" s="195" t="s">
        <v>210</v>
      </c>
      <c r="C21" s="120"/>
      <c r="D21" s="114" t="e">
        <f>'Ledger (4)'!I25+'Ledger (4)'!I27</f>
        <v>#VALUE!</v>
      </c>
    </row>
    <row r="22" spans="2:4" x14ac:dyDescent="0.3">
      <c r="B22" s="195" t="s">
        <v>211</v>
      </c>
      <c r="C22" s="120"/>
      <c r="D22" s="114" t="str">
        <f>'Ledger (4)'!I20</f>
        <v/>
      </c>
    </row>
    <row r="23" spans="2:4" x14ac:dyDescent="0.3">
      <c r="B23" s="194" t="s">
        <v>195</v>
      </c>
      <c r="C23" s="205"/>
      <c r="D23" s="187" t="e">
        <f>-SUM(D21:D22)</f>
        <v>#VALUE!</v>
      </c>
    </row>
    <row r="24" spans="2:4" x14ac:dyDescent="0.3">
      <c r="B24" s="196"/>
      <c r="C24" s="203"/>
      <c r="D24" s="188"/>
    </row>
    <row r="25" spans="2:4" x14ac:dyDescent="0.3">
      <c r="B25" s="197" t="s">
        <v>198</v>
      </c>
      <c r="C25" s="203"/>
      <c r="D25" s="188"/>
    </row>
    <row r="26" spans="2:4" x14ac:dyDescent="0.3">
      <c r="B26" s="195" t="s">
        <v>199</v>
      </c>
      <c r="C26" s="203"/>
      <c r="D26" s="188"/>
    </row>
    <row r="27" spans="2:4" x14ac:dyDescent="0.3">
      <c r="B27" s="195" t="s">
        <v>212</v>
      </c>
      <c r="C27" s="204">
        <v>300000000</v>
      </c>
      <c r="D27" s="188"/>
    </row>
    <row r="28" spans="2:4" x14ac:dyDescent="0.3">
      <c r="B28" s="195" t="s">
        <v>202</v>
      </c>
      <c r="C28" s="203"/>
      <c r="D28" s="188"/>
    </row>
    <row r="29" spans="2:4" x14ac:dyDescent="0.3">
      <c r="B29" s="195" t="s">
        <v>201</v>
      </c>
      <c r="C29" s="120"/>
      <c r="D29" s="114">
        <v>0</v>
      </c>
    </row>
    <row r="30" spans="2:4" x14ac:dyDescent="0.3">
      <c r="B30" s="195" t="s">
        <v>200</v>
      </c>
      <c r="C30" s="205"/>
      <c r="D30" s="190">
        <f>C27</f>
        <v>300000000</v>
      </c>
    </row>
    <row r="31" spans="2:4" ht="15" thickBot="1" x14ac:dyDescent="0.35">
      <c r="B31" s="198"/>
      <c r="C31" s="206"/>
      <c r="D31" s="191"/>
    </row>
    <row r="32" spans="2:4" x14ac:dyDescent="0.3">
      <c r="B32" s="193" t="s">
        <v>203</v>
      </c>
      <c r="C32" s="207"/>
      <c r="D32" s="192"/>
    </row>
    <row r="33" spans="2:5" x14ac:dyDescent="0.3">
      <c r="B33" s="195" t="s">
        <v>204</v>
      </c>
      <c r="C33" s="203"/>
      <c r="D33" s="189">
        <v>233500000</v>
      </c>
      <c r="E33" s="60"/>
    </row>
    <row r="34" spans="2:5" x14ac:dyDescent="0.3">
      <c r="B34" s="195" t="s">
        <v>205</v>
      </c>
      <c r="C34" s="120"/>
      <c r="D34" s="114">
        <v>5750000</v>
      </c>
    </row>
    <row r="35" spans="2:5" ht="15" thickBot="1" x14ac:dyDescent="0.35">
      <c r="B35" s="199" t="s">
        <v>206</v>
      </c>
      <c r="C35" s="121"/>
      <c r="D35" s="122">
        <f>SUM(D33:D34)</f>
        <v>239250000</v>
      </c>
    </row>
  </sheetData>
  <mergeCells count="5">
    <mergeCell ref="B2:D2"/>
    <mergeCell ref="B3:D3"/>
    <mergeCell ref="B4:D4"/>
    <mergeCell ref="C5:D5"/>
    <mergeCell ref="B5:B6"/>
  </mergeCells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A01E-AD9E-4F31-B988-584A4D75634C}">
  <dimension ref="B2:F51"/>
  <sheetViews>
    <sheetView zoomScaleNormal="100" workbookViewId="0">
      <selection activeCell="H26" sqref="H26"/>
    </sheetView>
  </sheetViews>
  <sheetFormatPr defaultRowHeight="14.4" x14ac:dyDescent="0.3"/>
  <cols>
    <col min="2" max="2" width="6.6640625" customWidth="1"/>
    <col min="3" max="3" width="30.5546875" customWidth="1"/>
    <col min="5" max="5" width="17.5546875" customWidth="1"/>
    <col min="6" max="7" width="18" customWidth="1"/>
  </cols>
  <sheetData>
    <row r="2" spans="2:6" x14ac:dyDescent="0.3">
      <c r="B2" s="215" t="str">
        <f>'Worksheet (6)'!B2:S2</f>
        <v>CV Max Picture</v>
      </c>
      <c r="C2" s="215"/>
      <c r="D2" s="215"/>
      <c r="E2" s="215"/>
      <c r="F2" s="215"/>
    </row>
    <row r="3" spans="2:6" x14ac:dyDescent="0.3">
      <c r="B3" s="215" t="s">
        <v>153</v>
      </c>
      <c r="C3" s="215"/>
      <c r="D3" s="215"/>
      <c r="E3" s="215"/>
      <c r="F3" s="215"/>
    </row>
    <row r="4" spans="2:6" x14ac:dyDescent="0.3">
      <c r="B4" s="215" t="str">
        <f>'Worksheet (6)'!B4:S4</f>
        <v>Periode Desember 2021</v>
      </c>
      <c r="C4" s="215"/>
      <c r="D4" s="215"/>
      <c r="E4" s="215"/>
      <c r="F4" s="215"/>
    </row>
    <row r="5" spans="2:6" x14ac:dyDescent="0.3">
      <c r="B5" s="215" t="str">
        <f>'Worksheet (6)'!B5:S5</f>
        <v>~ Dilarang keras merubah (Apapun) yang bukan menjadi kepentingan Anda !  ~</v>
      </c>
      <c r="C5" s="215"/>
      <c r="D5" s="215"/>
      <c r="E5" s="215"/>
      <c r="F5" s="215"/>
    </row>
    <row r="6" spans="2:6" x14ac:dyDescent="0.3">
      <c r="B6" s="1" t="s">
        <v>15</v>
      </c>
      <c r="C6" s="1" t="s">
        <v>13</v>
      </c>
      <c r="D6" s="1" t="s">
        <v>3</v>
      </c>
      <c r="E6" s="1" t="s">
        <v>117</v>
      </c>
      <c r="F6" s="1" t="s">
        <v>5</v>
      </c>
    </row>
    <row r="7" spans="2:6" x14ac:dyDescent="0.3">
      <c r="B7" s="208">
        <v>400</v>
      </c>
      <c r="C7" s="1" t="str">
        <f t="shared" ref="C7:C17" si="0">IFERROR(IF(B7="","",VLOOKUP(B7,daftarakun,2,0)),"Masukan kode yang benar!")</f>
        <v>Masukan kode yang benar!</v>
      </c>
      <c r="D7" s="1" t="e">
        <f t="shared" ref="D7:D17" si="1">VLOOKUP(B7,daftarakun,4,0)</f>
        <v>#N/A</v>
      </c>
      <c r="E7" s="8" t="e">
        <f>VLOOKUP(B7,neracalajur,16,0)</f>
        <v>#N/A</v>
      </c>
      <c r="F7" s="8" t="e">
        <f>VLOOKUP(B7,neracalajur,15,0)</f>
        <v>#N/A</v>
      </c>
    </row>
    <row r="8" spans="2:6" x14ac:dyDescent="0.3">
      <c r="B8" s="208">
        <v>401</v>
      </c>
      <c r="C8" s="1" t="str">
        <f t="shared" ref="C8:C16" si="2">IFERROR(IF(B8="","",VLOOKUP(B8,daftarakun,2,0)),"Masukan kode yang benar!")</f>
        <v>Masukan kode yang benar!</v>
      </c>
      <c r="D8" s="1" t="e">
        <f t="shared" ref="D8:D16" si="3">VLOOKUP(B8,daftarakun,4,0)</f>
        <v>#N/A</v>
      </c>
      <c r="E8" s="8" t="e">
        <f>VLOOKUP(B8,neracalajur,16,0)</f>
        <v>#N/A</v>
      </c>
      <c r="F8" s="8" t="e">
        <f>VLOOKUP(B8,neracalajur,15,0)</f>
        <v>#N/A</v>
      </c>
    </row>
    <row r="9" spans="2:6" hidden="1" x14ac:dyDescent="0.3">
      <c r="B9" s="208">
        <v>402</v>
      </c>
      <c r="C9" s="1" t="str">
        <f t="shared" si="2"/>
        <v>Masukan kode yang benar!</v>
      </c>
      <c r="D9" s="1" t="e">
        <f t="shared" si="3"/>
        <v>#N/A</v>
      </c>
      <c r="E9" s="8"/>
      <c r="F9" s="8"/>
    </row>
    <row r="10" spans="2:6" hidden="1" x14ac:dyDescent="0.3">
      <c r="B10" s="208">
        <v>403</v>
      </c>
      <c r="C10" s="1" t="str">
        <f t="shared" si="2"/>
        <v>Masukan kode yang benar!</v>
      </c>
      <c r="D10" s="1" t="e">
        <f t="shared" si="3"/>
        <v>#N/A</v>
      </c>
      <c r="E10" s="8"/>
      <c r="F10" s="8"/>
    </row>
    <row r="11" spans="2:6" hidden="1" x14ac:dyDescent="0.3">
      <c r="B11" s="208">
        <v>404</v>
      </c>
      <c r="C11" s="1" t="str">
        <f t="shared" si="2"/>
        <v>Masukan kode yang benar!</v>
      </c>
      <c r="D11" s="1" t="e">
        <f t="shared" si="3"/>
        <v>#N/A</v>
      </c>
      <c r="E11" s="8"/>
      <c r="F11" s="8"/>
    </row>
    <row r="12" spans="2:6" hidden="1" x14ac:dyDescent="0.3">
      <c r="B12" s="208">
        <v>405</v>
      </c>
      <c r="C12" s="1" t="str">
        <f t="shared" si="2"/>
        <v>Masukan kode yang benar!</v>
      </c>
      <c r="D12" s="1" t="e">
        <f t="shared" si="3"/>
        <v>#N/A</v>
      </c>
      <c r="E12" s="8"/>
      <c r="F12" s="8"/>
    </row>
    <row r="13" spans="2:6" hidden="1" x14ac:dyDescent="0.3">
      <c r="B13" s="208">
        <v>406</v>
      </c>
      <c r="C13" s="1" t="str">
        <f t="shared" si="2"/>
        <v>Masukan kode yang benar!</v>
      </c>
      <c r="D13" s="1" t="e">
        <f t="shared" si="3"/>
        <v>#N/A</v>
      </c>
      <c r="E13" s="8"/>
      <c r="F13" s="8"/>
    </row>
    <row r="14" spans="2:6" ht="13.8" hidden="1" customHeight="1" x14ac:dyDescent="0.3">
      <c r="B14" s="208">
        <v>407</v>
      </c>
      <c r="C14" s="1" t="str">
        <f t="shared" si="2"/>
        <v>Masukan kode yang benar!</v>
      </c>
      <c r="D14" s="1" t="e">
        <f t="shared" si="3"/>
        <v>#N/A</v>
      </c>
      <c r="E14" s="8"/>
      <c r="F14" s="8"/>
    </row>
    <row r="15" spans="2:6" ht="13.8" hidden="1" customHeight="1" x14ac:dyDescent="0.3">
      <c r="B15" s="208">
        <v>408</v>
      </c>
      <c r="C15" s="1" t="str">
        <f t="shared" si="2"/>
        <v>Masukan kode yang benar!</v>
      </c>
      <c r="D15" s="1" t="e">
        <f t="shared" si="3"/>
        <v>#N/A</v>
      </c>
      <c r="E15" s="8"/>
      <c r="F15" s="8"/>
    </row>
    <row r="16" spans="2:6" hidden="1" x14ac:dyDescent="0.3">
      <c r="B16" s="208">
        <v>409</v>
      </c>
      <c r="C16" s="1" t="str">
        <f t="shared" si="2"/>
        <v>Masukan kode yang benar!</v>
      </c>
      <c r="D16" s="1" t="e">
        <f t="shared" si="3"/>
        <v>#N/A</v>
      </c>
      <c r="E16" s="8"/>
      <c r="F16" s="8"/>
    </row>
    <row r="17" spans="2:6" x14ac:dyDescent="0.3">
      <c r="B17" s="184">
        <v>302</v>
      </c>
      <c r="C17" s="149" t="str">
        <f t="shared" si="0"/>
        <v>Masukan kode yang benar!</v>
      </c>
      <c r="D17" s="1" t="e">
        <f t="shared" si="1"/>
        <v>#N/A</v>
      </c>
      <c r="E17" s="8"/>
      <c r="F17" s="8" t="e">
        <f>SUM(E7:E8)</f>
        <v>#N/A</v>
      </c>
    </row>
    <row r="18" spans="2:6" x14ac:dyDescent="0.3">
      <c r="B18" s="44"/>
      <c r="C18" s="149"/>
      <c r="D18" s="1"/>
      <c r="E18" s="8"/>
      <c r="F18" s="8"/>
    </row>
    <row r="19" spans="2:6" x14ac:dyDescent="0.3">
      <c r="B19" s="44">
        <v>302</v>
      </c>
      <c r="C19" s="1" t="str">
        <f t="shared" ref="C19:C41" si="4">IFERROR(IF(B19="","",VLOOKUP(B19,daftarakun,2,0)),"Masukan kode yang benar!")</f>
        <v>Masukan kode yang benar!</v>
      </c>
      <c r="D19" s="1" t="e">
        <f t="shared" ref="D19:D20" si="5">VLOOKUP(B19,daftarakun,4,0)</f>
        <v>#N/A</v>
      </c>
      <c r="E19" s="8" t="e">
        <f>SUM(F20:F41)</f>
        <v>#N/A</v>
      </c>
      <c r="F19" s="8"/>
    </row>
    <row r="20" spans="2:6" x14ac:dyDescent="0.3">
      <c r="B20" s="44">
        <v>500</v>
      </c>
      <c r="C20" s="1" t="str">
        <f t="shared" si="4"/>
        <v>Masukan kode yang benar!</v>
      </c>
      <c r="D20" s="1" t="e">
        <f t="shared" si="5"/>
        <v>#N/A</v>
      </c>
      <c r="E20" s="8" t="e">
        <f t="shared" ref="E20:E41" si="6">VLOOKUP(B20,neracalajur,16,0)</f>
        <v>#N/A</v>
      </c>
      <c r="F20" s="8" t="e">
        <f t="shared" ref="F20:F41" si="7">VLOOKUP(B20,neracalajur,15,0)</f>
        <v>#N/A</v>
      </c>
    </row>
    <row r="21" spans="2:6" x14ac:dyDescent="0.3">
      <c r="B21" s="44">
        <v>501</v>
      </c>
      <c r="C21" s="1" t="str">
        <f t="shared" si="4"/>
        <v>Masukan kode yang benar!</v>
      </c>
      <c r="D21" s="1" t="e">
        <f t="shared" ref="D21:D41" si="8">VLOOKUP(B21,daftarakun,4,0)</f>
        <v>#N/A</v>
      </c>
      <c r="E21" s="8" t="e">
        <f t="shared" si="6"/>
        <v>#N/A</v>
      </c>
      <c r="F21" s="8" t="e">
        <f t="shared" si="7"/>
        <v>#N/A</v>
      </c>
    </row>
    <row r="22" spans="2:6" x14ac:dyDescent="0.3">
      <c r="B22" s="44">
        <v>502</v>
      </c>
      <c r="C22" s="1" t="str">
        <f t="shared" si="4"/>
        <v>Masukan kode yang benar!</v>
      </c>
      <c r="D22" s="1" t="e">
        <f t="shared" si="8"/>
        <v>#N/A</v>
      </c>
      <c r="E22" s="8" t="e">
        <f t="shared" si="6"/>
        <v>#N/A</v>
      </c>
      <c r="F22" s="8" t="e">
        <f t="shared" si="7"/>
        <v>#N/A</v>
      </c>
    </row>
    <row r="23" spans="2:6" x14ac:dyDescent="0.3">
      <c r="B23" s="44">
        <v>503</v>
      </c>
      <c r="C23" s="1" t="str">
        <f t="shared" si="4"/>
        <v>Masukan kode yang benar!</v>
      </c>
      <c r="D23" s="1" t="e">
        <f t="shared" si="8"/>
        <v>#N/A</v>
      </c>
      <c r="E23" s="8" t="e">
        <f t="shared" si="6"/>
        <v>#N/A</v>
      </c>
      <c r="F23" s="8" t="e">
        <f t="shared" si="7"/>
        <v>#N/A</v>
      </c>
    </row>
    <row r="24" spans="2:6" x14ac:dyDescent="0.3">
      <c r="B24" s="44">
        <v>504</v>
      </c>
      <c r="C24" s="1" t="str">
        <f t="shared" si="4"/>
        <v>Masukan kode yang benar!</v>
      </c>
      <c r="D24" s="1" t="e">
        <f t="shared" si="8"/>
        <v>#N/A</v>
      </c>
      <c r="E24" s="8" t="e">
        <f t="shared" si="6"/>
        <v>#N/A</v>
      </c>
      <c r="F24" s="8" t="e">
        <f t="shared" si="7"/>
        <v>#N/A</v>
      </c>
    </row>
    <row r="25" spans="2:6" x14ac:dyDescent="0.3">
      <c r="B25" s="44">
        <v>505</v>
      </c>
      <c r="C25" s="1" t="str">
        <f t="shared" si="4"/>
        <v>Masukan kode yang benar!</v>
      </c>
      <c r="D25" s="1" t="e">
        <f t="shared" si="8"/>
        <v>#N/A</v>
      </c>
      <c r="E25" s="8" t="e">
        <f t="shared" si="6"/>
        <v>#N/A</v>
      </c>
      <c r="F25" s="8" t="e">
        <f t="shared" si="7"/>
        <v>#N/A</v>
      </c>
    </row>
    <row r="26" spans="2:6" x14ac:dyDescent="0.3">
      <c r="B26" s="44">
        <v>506</v>
      </c>
      <c r="C26" s="1" t="str">
        <f t="shared" si="4"/>
        <v>Masukan kode yang benar!</v>
      </c>
      <c r="D26" s="1" t="e">
        <f t="shared" si="8"/>
        <v>#N/A</v>
      </c>
      <c r="E26" s="8" t="e">
        <f t="shared" si="6"/>
        <v>#N/A</v>
      </c>
      <c r="F26" s="8" t="e">
        <f t="shared" si="7"/>
        <v>#N/A</v>
      </c>
    </row>
    <row r="27" spans="2:6" x14ac:dyDescent="0.3">
      <c r="B27" s="44">
        <v>507</v>
      </c>
      <c r="C27" s="1" t="str">
        <f t="shared" si="4"/>
        <v>Masukan kode yang benar!</v>
      </c>
      <c r="D27" s="1" t="e">
        <f t="shared" si="8"/>
        <v>#N/A</v>
      </c>
      <c r="E27" s="8" t="e">
        <f t="shared" si="6"/>
        <v>#N/A</v>
      </c>
      <c r="F27" s="8" t="e">
        <f t="shared" si="7"/>
        <v>#N/A</v>
      </c>
    </row>
    <row r="28" spans="2:6" x14ac:dyDescent="0.3">
      <c r="B28" s="44">
        <v>508</v>
      </c>
      <c r="C28" s="1" t="str">
        <f t="shared" si="4"/>
        <v>Masukan kode yang benar!</v>
      </c>
      <c r="D28" s="1" t="e">
        <f t="shared" si="8"/>
        <v>#N/A</v>
      </c>
      <c r="E28" s="8" t="e">
        <f t="shared" si="6"/>
        <v>#N/A</v>
      </c>
      <c r="F28" s="8" t="e">
        <f t="shared" si="7"/>
        <v>#N/A</v>
      </c>
    </row>
    <row r="29" spans="2:6" x14ac:dyDescent="0.3">
      <c r="B29" s="44">
        <v>509</v>
      </c>
      <c r="C29" s="1" t="str">
        <f t="shared" si="4"/>
        <v>Masukan kode yang benar!</v>
      </c>
      <c r="D29" s="1" t="e">
        <f t="shared" si="8"/>
        <v>#N/A</v>
      </c>
      <c r="E29" s="8" t="e">
        <f t="shared" si="6"/>
        <v>#N/A</v>
      </c>
      <c r="F29" s="8" t="e">
        <f t="shared" si="7"/>
        <v>#N/A</v>
      </c>
    </row>
    <row r="30" spans="2:6" x14ac:dyDescent="0.3">
      <c r="B30" s="44">
        <v>510</v>
      </c>
      <c r="C30" s="1" t="str">
        <f t="shared" si="4"/>
        <v>Masukan kode yang benar!</v>
      </c>
      <c r="D30" s="1" t="e">
        <f t="shared" si="8"/>
        <v>#N/A</v>
      </c>
      <c r="E30" s="8" t="e">
        <f t="shared" si="6"/>
        <v>#N/A</v>
      </c>
      <c r="F30" s="8" t="e">
        <f t="shared" si="7"/>
        <v>#N/A</v>
      </c>
    </row>
    <row r="31" spans="2:6" x14ac:dyDescent="0.3">
      <c r="B31" s="44">
        <v>511</v>
      </c>
      <c r="C31" s="1" t="str">
        <f t="shared" si="4"/>
        <v>Masukan kode yang benar!</v>
      </c>
      <c r="D31" s="1" t="e">
        <f t="shared" si="8"/>
        <v>#N/A</v>
      </c>
      <c r="E31" s="8" t="e">
        <f t="shared" si="6"/>
        <v>#N/A</v>
      </c>
      <c r="F31" s="8" t="e">
        <f t="shared" si="7"/>
        <v>#N/A</v>
      </c>
    </row>
    <row r="32" spans="2:6" x14ac:dyDescent="0.3">
      <c r="B32" s="44">
        <v>512</v>
      </c>
      <c r="C32" s="1" t="str">
        <f t="shared" si="4"/>
        <v>Masukan kode yang benar!</v>
      </c>
      <c r="D32" s="1" t="e">
        <f t="shared" si="8"/>
        <v>#N/A</v>
      </c>
      <c r="E32" s="8" t="e">
        <f t="shared" si="6"/>
        <v>#N/A</v>
      </c>
      <c r="F32" s="8" t="e">
        <f t="shared" si="7"/>
        <v>#N/A</v>
      </c>
    </row>
    <row r="33" spans="2:6" x14ac:dyDescent="0.3">
      <c r="B33" s="44">
        <v>513</v>
      </c>
      <c r="C33" s="1" t="str">
        <f t="shared" si="4"/>
        <v>Masukan kode yang benar!</v>
      </c>
      <c r="D33" s="1" t="e">
        <f t="shared" si="8"/>
        <v>#N/A</v>
      </c>
      <c r="E33" s="8" t="e">
        <f t="shared" si="6"/>
        <v>#N/A</v>
      </c>
      <c r="F33" s="8" t="e">
        <f t="shared" si="7"/>
        <v>#N/A</v>
      </c>
    </row>
    <row r="34" spans="2:6" x14ac:dyDescent="0.3">
      <c r="B34" s="44">
        <v>514</v>
      </c>
      <c r="C34" s="1" t="str">
        <f t="shared" si="4"/>
        <v>Masukan kode yang benar!</v>
      </c>
      <c r="D34" s="1" t="e">
        <f t="shared" si="8"/>
        <v>#N/A</v>
      </c>
      <c r="E34" s="8" t="e">
        <f t="shared" si="6"/>
        <v>#N/A</v>
      </c>
      <c r="F34" s="8" t="e">
        <f t="shared" si="7"/>
        <v>#N/A</v>
      </c>
    </row>
    <row r="35" spans="2:6" x14ac:dyDescent="0.3">
      <c r="B35" s="44">
        <v>515</v>
      </c>
      <c r="C35" s="1" t="str">
        <f t="shared" si="4"/>
        <v>Masukan kode yang benar!</v>
      </c>
      <c r="D35" s="1" t="e">
        <f t="shared" si="8"/>
        <v>#N/A</v>
      </c>
      <c r="E35" s="8" t="e">
        <f t="shared" si="6"/>
        <v>#N/A</v>
      </c>
      <c r="F35" s="8" t="e">
        <f t="shared" si="7"/>
        <v>#N/A</v>
      </c>
    </row>
    <row r="36" spans="2:6" x14ac:dyDescent="0.3">
      <c r="B36" s="44">
        <v>516</v>
      </c>
      <c r="C36" s="1" t="str">
        <f t="shared" si="4"/>
        <v>Masukan kode yang benar!</v>
      </c>
      <c r="D36" s="1" t="e">
        <f t="shared" si="8"/>
        <v>#N/A</v>
      </c>
      <c r="E36" s="8" t="e">
        <f t="shared" si="6"/>
        <v>#N/A</v>
      </c>
      <c r="F36" s="8" t="e">
        <f t="shared" si="7"/>
        <v>#N/A</v>
      </c>
    </row>
    <row r="37" spans="2:6" x14ac:dyDescent="0.3">
      <c r="B37" s="44">
        <v>517</v>
      </c>
      <c r="C37" s="1" t="str">
        <f t="shared" si="4"/>
        <v>Masukan kode yang benar!</v>
      </c>
      <c r="D37" s="1" t="e">
        <f t="shared" si="8"/>
        <v>#N/A</v>
      </c>
      <c r="E37" s="8" t="e">
        <f t="shared" si="6"/>
        <v>#N/A</v>
      </c>
      <c r="F37" s="8" t="e">
        <f t="shared" si="7"/>
        <v>#N/A</v>
      </c>
    </row>
    <row r="38" spans="2:6" x14ac:dyDescent="0.3">
      <c r="B38" s="44">
        <v>518</v>
      </c>
      <c r="C38" s="1" t="str">
        <f t="shared" si="4"/>
        <v>Masukan kode yang benar!</v>
      </c>
      <c r="D38" s="1" t="e">
        <f t="shared" si="8"/>
        <v>#N/A</v>
      </c>
      <c r="E38" s="8" t="e">
        <f t="shared" si="6"/>
        <v>#N/A</v>
      </c>
      <c r="F38" s="8" t="e">
        <f t="shared" si="7"/>
        <v>#N/A</v>
      </c>
    </row>
    <row r="39" spans="2:6" x14ac:dyDescent="0.3">
      <c r="B39" s="44">
        <v>519</v>
      </c>
      <c r="C39" s="1" t="str">
        <f t="shared" si="4"/>
        <v>Masukan kode yang benar!</v>
      </c>
      <c r="D39" s="1" t="e">
        <f t="shared" si="8"/>
        <v>#N/A</v>
      </c>
      <c r="E39" s="8" t="e">
        <f t="shared" si="6"/>
        <v>#N/A</v>
      </c>
      <c r="F39" s="8" t="e">
        <f t="shared" si="7"/>
        <v>#N/A</v>
      </c>
    </row>
    <row r="40" spans="2:6" x14ac:dyDescent="0.3">
      <c r="B40" s="44">
        <v>520</v>
      </c>
      <c r="C40" s="1" t="str">
        <f t="shared" si="4"/>
        <v>Masukan kode yang benar!</v>
      </c>
      <c r="D40" s="1" t="e">
        <f t="shared" si="8"/>
        <v>#N/A</v>
      </c>
      <c r="E40" s="8" t="e">
        <f t="shared" si="6"/>
        <v>#N/A</v>
      </c>
      <c r="F40" s="8" t="e">
        <f t="shared" si="7"/>
        <v>#N/A</v>
      </c>
    </row>
    <row r="41" spans="2:6" x14ac:dyDescent="0.3">
      <c r="B41" s="44">
        <v>521</v>
      </c>
      <c r="C41" s="1" t="str">
        <f t="shared" si="4"/>
        <v>Masukan kode yang benar!</v>
      </c>
      <c r="D41" s="1" t="e">
        <f t="shared" si="8"/>
        <v>#N/A</v>
      </c>
      <c r="E41" s="8" t="e">
        <f t="shared" si="6"/>
        <v>#N/A</v>
      </c>
      <c r="F41" s="8" t="e">
        <f t="shared" si="7"/>
        <v>#N/A</v>
      </c>
    </row>
    <row r="42" spans="2:6" x14ac:dyDescent="0.3">
      <c r="B42" s="44"/>
      <c r="C42" s="149" t="str">
        <f t="shared" ref="C42:C44" si="9">IFERROR(IF(B42="","",VLOOKUP(B42,daftarakun,2,0)),"Masukan kode yang benar!")</f>
        <v/>
      </c>
      <c r="D42" s="1"/>
      <c r="E42" s="8"/>
      <c r="F42" s="8"/>
    </row>
    <row r="43" spans="2:6" x14ac:dyDescent="0.3">
      <c r="B43" s="44">
        <v>302</v>
      </c>
      <c r="C43" s="149" t="str">
        <f t="shared" si="9"/>
        <v>Masukan kode yang benar!</v>
      </c>
      <c r="D43" s="1" t="e">
        <f>VLOOKUP(B43,daftarakun,4,0)</f>
        <v>#N/A</v>
      </c>
      <c r="E43" s="8">
        <f ca="1">'Worksheet (6)'!Q148</f>
        <v>490000</v>
      </c>
      <c r="F43" s="8"/>
    </row>
    <row r="44" spans="2:6" x14ac:dyDescent="0.3">
      <c r="B44" s="44">
        <v>300</v>
      </c>
      <c r="C44" s="149" t="str">
        <f t="shared" si="9"/>
        <v>Masukan kode yang benar!</v>
      </c>
      <c r="D44" s="1" t="e">
        <f>VLOOKUP(B44,daftarakun,4,0)</f>
        <v>#N/A</v>
      </c>
      <c r="E44" s="8"/>
      <c r="F44" s="8">
        <f ca="1">E43</f>
        <v>490000</v>
      </c>
    </row>
    <row r="45" spans="2:6" x14ac:dyDescent="0.3">
      <c r="B45" s="215" t="s">
        <v>148</v>
      </c>
      <c r="C45" s="215"/>
      <c r="D45" s="180" t="s">
        <v>61</v>
      </c>
      <c r="E45" s="209" t="e">
        <f>SUM(E7:E44)</f>
        <v>#N/A</v>
      </c>
      <c r="F45" s="209" t="e">
        <f>SUM(F7:F44)</f>
        <v>#N/A</v>
      </c>
    </row>
    <row r="46" spans="2:6" x14ac:dyDescent="0.3">
      <c r="C46" s="36"/>
    </row>
    <row r="47" spans="2:6" x14ac:dyDescent="0.3">
      <c r="C47" s="36"/>
    </row>
    <row r="48" spans="2:6" x14ac:dyDescent="0.3">
      <c r="C48" s="36"/>
    </row>
    <row r="49" spans="3:3" x14ac:dyDescent="0.3">
      <c r="C49" s="36"/>
    </row>
    <row r="50" spans="3:3" x14ac:dyDescent="0.3">
      <c r="C50" s="36"/>
    </row>
    <row r="51" spans="3:3" x14ac:dyDescent="0.3">
      <c r="C51" s="36"/>
    </row>
  </sheetData>
  <mergeCells count="5">
    <mergeCell ref="B2:F2"/>
    <mergeCell ref="B3:F3"/>
    <mergeCell ref="B4:F4"/>
    <mergeCell ref="B5:F5"/>
    <mergeCell ref="B45:C45"/>
  </mergeCells>
  <dataValidations count="1">
    <dataValidation type="list" allowBlank="1" showInputMessage="1" showErrorMessage="1" sqref="B7:B46" xr:uid="{D4806AB5-53AB-478A-8C03-44FA1F62EC12}">
      <formula1>kode</formula1>
    </dataValidation>
  </dataValidation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2D23-B576-4C1E-8F5A-0C7373B62992}">
  <dimension ref="B1:G44"/>
  <sheetViews>
    <sheetView workbookViewId="0">
      <selection activeCell="L35" sqref="L35"/>
    </sheetView>
  </sheetViews>
  <sheetFormatPr defaultRowHeight="14.4" x14ac:dyDescent="0.3"/>
  <cols>
    <col min="3" max="3" width="47.109375" customWidth="1"/>
    <col min="5" max="5" width="15.21875" customWidth="1"/>
    <col min="6" max="6" width="13.88671875" customWidth="1"/>
  </cols>
  <sheetData>
    <row r="1" spans="2:6" ht="15" thickBot="1" x14ac:dyDescent="0.35"/>
    <row r="2" spans="2:6" x14ac:dyDescent="0.3">
      <c r="B2" s="216" t="str">
        <f>'Worksheet (6)'!B2:S2</f>
        <v>CV Max Picture</v>
      </c>
      <c r="C2" s="217"/>
      <c r="D2" s="217"/>
      <c r="E2" s="217"/>
      <c r="F2" s="218"/>
    </row>
    <row r="3" spans="2:6" x14ac:dyDescent="0.3">
      <c r="B3" s="219" t="s">
        <v>152</v>
      </c>
      <c r="C3" s="220"/>
      <c r="D3" s="220"/>
      <c r="E3" s="220"/>
      <c r="F3" s="221"/>
    </row>
    <row r="4" spans="2:6" ht="15" thickBot="1" x14ac:dyDescent="0.35">
      <c r="B4" s="222" t="str">
        <f>'Worksheet (6)'!B4:S4</f>
        <v>Periode Desember 2021</v>
      </c>
      <c r="C4" s="223"/>
      <c r="D4" s="223"/>
      <c r="E4" s="223"/>
      <c r="F4" s="224"/>
    </row>
    <row r="5" spans="2:6" ht="15" thickBot="1" x14ac:dyDescent="0.35">
      <c r="B5" s="225" t="str">
        <f>'Worksheet (6)'!B5:S5</f>
        <v>~ Dilarang keras merubah (Apapun) yang bukan menjadi kepentingan Anda !  ~</v>
      </c>
      <c r="C5" s="226"/>
      <c r="D5" s="226"/>
      <c r="E5" s="226"/>
      <c r="F5" s="227"/>
    </row>
    <row r="6" spans="2:6" ht="15" thickBot="1" x14ac:dyDescent="0.35">
      <c r="B6" s="59" t="s">
        <v>15</v>
      </c>
      <c r="C6" s="69" t="s">
        <v>13</v>
      </c>
      <c r="D6" s="59" t="s">
        <v>3</v>
      </c>
      <c r="E6" s="98" t="s">
        <v>117</v>
      </c>
      <c r="F6" s="96" t="s">
        <v>5</v>
      </c>
    </row>
    <row r="7" spans="2:6" ht="15" thickBot="1" x14ac:dyDescent="0.35">
      <c r="B7" s="176">
        <f>'Worksheet (6)'!B8</f>
        <v>10000</v>
      </c>
      <c r="C7" s="175" t="str">
        <f t="shared" ref="C7" si="0">VLOOKUP(B7,neracalajur,2)</f>
        <v>Harta Lancar</v>
      </c>
      <c r="D7" s="85" t="str">
        <f t="shared" ref="D7" si="1">VLOOKUP(B7,neracalajur,3,0)</f>
        <v>Db</v>
      </c>
      <c r="E7" s="80">
        <f t="shared" ref="E7" ca="1" si="2">VLOOKUP(B7,neracalajur,17,0)</f>
        <v>0</v>
      </c>
      <c r="F7" s="97">
        <f t="shared" ref="F7" si="3">VLOOKUP(B7,neracalajur,18,0)</f>
        <v>0</v>
      </c>
    </row>
    <row r="8" spans="2:6" ht="15" thickBot="1" x14ac:dyDescent="0.35">
      <c r="B8" s="212">
        <f>'Worksheet (6)'!B9</f>
        <v>10001</v>
      </c>
      <c r="C8" s="213" t="str">
        <f t="shared" ref="C8:C43" si="4">VLOOKUP(B8,neracalajur,2)</f>
        <v>Kas</v>
      </c>
      <c r="D8" s="85" t="str">
        <f t="shared" ref="D8:D43" si="5">VLOOKUP(B8,neracalajur,3,0)</f>
        <v>Db</v>
      </c>
      <c r="E8" s="80">
        <f t="shared" ref="E8:E42" ca="1" si="6">VLOOKUP(B8,neracalajur,17,0)</f>
        <v>80000</v>
      </c>
      <c r="F8" s="97">
        <f t="shared" ref="F8:F42" si="7">VLOOKUP(B8,neracalajur,18,0)</f>
        <v>0</v>
      </c>
    </row>
    <row r="9" spans="2:6" ht="15" thickBot="1" x14ac:dyDescent="0.35">
      <c r="B9" s="212">
        <f>'Worksheet (6)'!B10</f>
        <v>10002</v>
      </c>
      <c r="C9" s="213" t="str">
        <f t="shared" si="4"/>
        <v>Persediaan Barang Dagang</v>
      </c>
      <c r="D9" s="85" t="str">
        <f t="shared" si="5"/>
        <v>Db</v>
      </c>
      <c r="E9" s="80">
        <f t="shared" ca="1" si="6"/>
        <v>0</v>
      </c>
      <c r="F9" s="97">
        <f t="shared" si="7"/>
        <v>0</v>
      </c>
    </row>
    <row r="10" spans="2:6" ht="15" thickBot="1" x14ac:dyDescent="0.35">
      <c r="B10" s="212">
        <f>'Worksheet (6)'!B11</f>
        <v>10003</v>
      </c>
      <c r="C10" s="213" t="str">
        <f t="shared" si="4"/>
        <v>Piutang Usaha</v>
      </c>
      <c r="D10" s="85" t="str">
        <f t="shared" si="5"/>
        <v>Db</v>
      </c>
      <c r="E10" s="80">
        <f t="shared" ca="1" si="6"/>
        <v>500000</v>
      </c>
      <c r="F10" s="97">
        <f t="shared" si="7"/>
        <v>0</v>
      </c>
    </row>
    <row r="11" spans="2:6" ht="15" thickBot="1" x14ac:dyDescent="0.35">
      <c r="B11" s="212">
        <f>'Worksheet (6)'!B12</f>
        <v>10004</v>
      </c>
      <c r="C11" s="213" t="str">
        <f t="shared" si="4"/>
        <v>Piutang Pendapatan</v>
      </c>
      <c r="D11" s="85" t="str">
        <f t="shared" si="5"/>
        <v>Db</v>
      </c>
      <c r="E11" s="80">
        <f t="shared" ca="1" si="6"/>
        <v>0</v>
      </c>
      <c r="F11" s="97">
        <f t="shared" si="7"/>
        <v>0</v>
      </c>
    </row>
    <row r="12" spans="2:6" ht="15" thickBot="1" x14ac:dyDescent="0.35">
      <c r="B12" s="212">
        <f>'Worksheet (6)'!B13</f>
        <v>10005</v>
      </c>
      <c r="C12" s="213" t="str">
        <f t="shared" si="4"/>
        <v>Wesel Tagih</v>
      </c>
      <c r="D12" s="85" t="str">
        <f t="shared" si="5"/>
        <v>Db</v>
      </c>
      <c r="E12" s="80">
        <f t="shared" ca="1" si="6"/>
        <v>0</v>
      </c>
      <c r="F12" s="97">
        <f t="shared" si="7"/>
        <v>0</v>
      </c>
    </row>
    <row r="13" spans="2:6" ht="15" thickBot="1" x14ac:dyDescent="0.35">
      <c r="B13" s="212">
        <f>'Worksheet (6)'!B14</f>
        <v>10006</v>
      </c>
      <c r="C13" s="213" t="str">
        <f t="shared" si="4"/>
        <v>Perlengkapan Kantor</v>
      </c>
      <c r="D13" s="85" t="str">
        <f t="shared" si="5"/>
        <v>Db</v>
      </c>
      <c r="E13" s="80">
        <f t="shared" ca="1" si="6"/>
        <v>10000</v>
      </c>
      <c r="F13" s="97">
        <f t="shared" si="7"/>
        <v>0</v>
      </c>
    </row>
    <row r="14" spans="2:6" ht="15" thickBot="1" x14ac:dyDescent="0.35">
      <c r="B14" s="212">
        <f>'Worksheet (6)'!B15</f>
        <v>10007</v>
      </c>
      <c r="C14" s="213" t="str">
        <f t="shared" si="4"/>
        <v>Perlengkapan Toko</v>
      </c>
      <c r="D14" s="85" t="str">
        <f t="shared" si="5"/>
        <v>Db</v>
      </c>
      <c r="E14" s="80">
        <f t="shared" ca="1" si="6"/>
        <v>0</v>
      </c>
      <c r="F14" s="97">
        <f t="shared" si="7"/>
        <v>0</v>
      </c>
    </row>
    <row r="15" spans="2:6" ht="15" thickBot="1" x14ac:dyDescent="0.35">
      <c r="B15" s="212">
        <f>'Worksheet (6)'!B16</f>
        <v>10008</v>
      </c>
      <c r="C15" s="213" t="str">
        <f t="shared" si="4"/>
        <v>Iklan Dibayar Dimuka</v>
      </c>
      <c r="D15" s="85" t="str">
        <f t="shared" si="5"/>
        <v>Db</v>
      </c>
      <c r="E15" s="80">
        <f t="shared" ca="1" si="6"/>
        <v>0</v>
      </c>
      <c r="F15" s="97">
        <f t="shared" si="7"/>
        <v>0</v>
      </c>
    </row>
    <row r="16" spans="2:6" ht="15" thickBot="1" x14ac:dyDescent="0.35">
      <c r="B16" s="212">
        <f>'Worksheet (6)'!B17</f>
        <v>10009</v>
      </c>
      <c r="C16" s="213" t="str">
        <f t="shared" si="4"/>
        <v>Sewa Dibayar Dimuka</v>
      </c>
      <c r="D16" s="85" t="str">
        <f t="shared" si="5"/>
        <v>Db</v>
      </c>
      <c r="E16" s="80">
        <f t="shared" ca="1" si="6"/>
        <v>0</v>
      </c>
      <c r="F16" s="97">
        <f t="shared" si="7"/>
        <v>0</v>
      </c>
    </row>
    <row r="17" spans="2:6" ht="15" thickBot="1" x14ac:dyDescent="0.35">
      <c r="B17" s="212">
        <f>'Worksheet (6)'!B18</f>
        <v>10010</v>
      </c>
      <c r="C17" s="213" t="str">
        <f t="shared" si="4"/>
        <v>Asuransi Dibayar Dimuka</v>
      </c>
      <c r="D17" s="85" t="str">
        <f t="shared" si="5"/>
        <v>Db</v>
      </c>
      <c r="E17" s="80">
        <f t="shared" ca="1" si="6"/>
        <v>0</v>
      </c>
      <c r="F17" s="97">
        <f t="shared" si="7"/>
        <v>0</v>
      </c>
    </row>
    <row r="18" spans="2:6" ht="15" thickBot="1" x14ac:dyDescent="0.35">
      <c r="B18" s="212">
        <f>'Worksheet (6)'!B19</f>
        <v>10011</v>
      </c>
      <c r="C18" s="213">
        <f t="shared" si="4"/>
        <v>0</v>
      </c>
      <c r="D18" s="85" t="str">
        <f t="shared" si="5"/>
        <v>Db</v>
      </c>
      <c r="E18" s="80">
        <f t="shared" ca="1" si="6"/>
        <v>0</v>
      </c>
      <c r="F18" s="97">
        <f t="shared" si="7"/>
        <v>0</v>
      </c>
    </row>
    <row r="19" spans="2:6" ht="15" thickBot="1" x14ac:dyDescent="0.35">
      <c r="B19" s="212">
        <f>'Worksheet (6)'!B20</f>
        <v>10012</v>
      </c>
      <c r="C19" s="213">
        <f t="shared" si="4"/>
        <v>0</v>
      </c>
      <c r="D19" s="85" t="str">
        <f t="shared" si="5"/>
        <v>Db</v>
      </c>
      <c r="E19" s="80">
        <f t="shared" ca="1" si="6"/>
        <v>0</v>
      </c>
      <c r="F19" s="97">
        <f t="shared" si="7"/>
        <v>0</v>
      </c>
    </row>
    <row r="20" spans="2:6" ht="15" thickBot="1" x14ac:dyDescent="0.35">
      <c r="B20" s="212">
        <f>'Worksheet (6)'!B21</f>
        <v>10013</v>
      </c>
      <c r="C20" s="213">
        <f t="shared" si="4"/>
        <v>0</v>
      </c>
      <c r="D20" s="85" t="str">
        <f t="shared" si="5"/>
        <v>Db</v>
      </c>
      <c r="E20" s="80">
        <f t="shared" ca="1" si="6"/>
        <v>0</v>
      </c>
      <c r="F20" s="97">
        <f t="shared" si="7"/>
        <v>0</v>
      </c>
    </row>
    <row r="21" spans="2:6" ht="15" thickBot="1" x14ac:dyDescent="0.35">
      <c r="B21" s="212">
        <f>'Worksheet (6)'!B22</f>
        <v>10014</v>
      </c>
      <c r="C21" s="213">
        <f t="shared" si="4"/>
        <v>0</v>
      </c>
      <c r="D21" s="85" t="str">
        <f t="shared" si="5"/>
        <v>Db</v>
      </c>
      <c r="E21" s="80">
        <f t="shared" ca="1" si="6"/>
        <v>0</v>
      </c>
      <c r="F21" s="97">
        <f t="shared" si="7"/>
        <v>0</v>
      </c>
    </row>
    <row r="22" spans="2:6" ht="15" thickBot="1" x14ac:dyDescent="0.35">
      <c r="B22" s="212">
        <f>'Worksheet (6)'!B23</f>
        <v>10015</v>
      </c>
      <c r="C22" s="213">
        <f t="shared" si="4"/>
        <v>0</v>
      </c>
      <c r="D22" s="85" t="str">
        <f t="shared" si="5"/>
        <v>Db</v>
      </c>
      <c r="E22" s="80">
        <f t="shared" ca="1" si="6"/>
        <v>0</v>
      </c>
      <c r="F22" s="97">
        <f t="shared" si="7"/>
        <v>0</v>
      </c>
    </row>
    <row r="23" spans="2:6" ht="15" thickBot="1" x14ac:dyDescent="0.35">
      <c r="B23" s="212">
        <f>'Worksheet (6)'!B24</f>
        <v>10016</v>
      </c>
      <c r="C23" s="213">
        <f t="shared" si="4"/>
        <v>0</v>
      </c>
      <c r="D23" s="85" t="str">
        <f t="shared" si="5"/>
        <v>Db</v>
      </c>
      <c r="E23" s="80">
        <f t="shared" ca="1" si="6"/>
        <v>0</v>
      </c>
      <c r="F23" s="97">
        <f t="shared" si="7"/>
        <v>0</v>
      </c>
    </row>
    <row r="24" spans="2:6" ht="15" thickBot="1" x14ac:dyDescent="0.35">
      <c r="B24" s="212">
        <f>'Worksheet (6)'!B25</f>
        <v>10017</v>
      </c>
      <c r="C24" s="213">
        <f t="shared" si="4"/>
        <v>0</v>
      </c>
      <c r="D24" s="85" t="str">
        <f t="shared" si="5"/>
        <v>Db</v>
      </c>
      <c r="E24" s="80">
        <f t="shared" ca="1" si="6"/>
        <v>0</v>
      </c>
      <c r="F24" s="97">
        <f t="shared" si="7"/>
        <v>0</v>
      </c>
    </row>
    <row r="25" spans="2:6" ht="15" thickBot="1" x14ac:dyDescent="0.35">
      <c r="B25" s="212">
        <f>'Worksheet (6)'!B26</f>
        <v>10018</v>
      </c>
      <c r="C25" s="213">
        <f t="shared" si="4"/>
        <v>0</v>
      </c>
      <c r="D25" s="85" t="str">
        <f t="shared" si="5"/>
        <v>Db</v>
      </c>
      <c r="E25" s="80">
        <f t="shared" ca="1" si="6"/>
        <v>0</v>
      </c>
      <c r="F25" s="97">
        <f t="shared" si="7"/>
        <v>0</v>
      </c>
    </row>
    <row r="26" spans="2:6" ht="15" thickBot="1" x14ac:dyDescent="0.35">
      <c r="B26" s="212">
        <f>'Worksheet (6)'!B27</f>
        <v>10019</v>
      </c>
      <c r="C26" s="213">
        <f t="shared" si="4"/>
        <v>0</v>
      </c>
      <c r="D26" s="85" t="str">
        <f t="shared" si="5"/>
        <v>Db</v>
      </c>
      <c r="E26" s="80">
        <f t="shared" ca="1" si="6"/>
        <v>0</v>
      </c>
      <c r="F26" s="97">
        <f t="shared" si="7"/>
        <v>0</v>
      </c>
    </row>
    <row r="27" spans="2:6" ht="15" thickBot="1" x14ac:dyDescent="0.35">
      <c r="B27" s="212">
        <f>'Worksheet (6)'!B28</f>
        <v>10020</v>
      </c>
      <c r="C27" s="213">
        <f t="shared" si="4"/>
        <v>0</v>
      </c>
      <c r="D27" s="85" t="str">
        <f t="shared" si="5"/>
        <v>Db</v>
      </c>
      <c r="E27" s="80">
        <f t="shared" ca="1" si="6"/>
        <v>0</v>
      </c>
      <c r="F27" s="97">
        <f t="shared" si="7"/>
        <v>0</v>
      </c>
    </row>
    <row r="28" spans="2:6" ht="15" thickBot="1" x14ac:dyDescent="0.35">
      <c r="B28" s="212">
        <f>'Worksheet (6)'!B29</f>
        <v>11000</v>
      </c>
      <c r="C28" s="213" t="str">
        <f t="shared" si="4"/>
        <v>Harta tetap</v>
      </c>
      <c r="D28" s="85" t="str">
        <f t="shared" si="5"/>
        <v>Db</v>
      </c>
      <c r="E28" s="80">
        <f t="shared" ca="1" si="6"/>
        <v>0</v>
      </c>
      <c r="F28" s="97">
        <f t="shared" si="7"/>
        <v>0</v>
      </c>
    </row>
    <row r="29" spans="2:6" ht="15" thickBot="1" x14ac:dyDescent="0.35">
      <c r="B29" s="212">
        <f>'Worksheet (6)'!B30</f>
        <v>11001</v>
      </c>
      <c r="C29" s="213" t="str">
        <f t="shared" si="4"/>
        <v>Peralatan Kantor</v>
      </c>
      <c r="D29" s="85" t="str">
        <f t="shared" si="5"/>
        <v>Db</v>
      </c>
      <c r="E29" s="80">
        <f t="shared" ca="1" si="6"/>
        <v>0</v>
      </c>
      <c r="F29" s="97">
        <f t="shared" si="7"/>
        <v>0</v>
      </c>
    </row>
    <row r="30" spans="2:6" ht="15" thickBot="1" x14ac:dyDescent="0.35">
      <c r="B30" s="176">
        <f>'Worksheet (6)'!B31</f>
        <v>11002</v>
      </c>
      <c r="C30" s="175" t="str">
        <f t="shared" si="4"/>
        <v>Akumulasi Penyusutan Peralatan Kantor</v>
      </c>
      <c r="D30" s="85" t="str">
        <f t="shared" si="5"/>
        <v>Kr</v>
      </c>
      <c r="E30" s="80">
        <f t="shared" si="6"/>
        <v>0</v>
      </c>
      <c r="F30" s="97">
        <f t="shared" ca="1" si="7"/>
        <v>0</v>
      </c>
    </row>
    <row r="31" spans="2:6" ht="15" thickBot="1" x14ac:dyDescent="0.35">
      <c r="B31" s="212">
        <f>'Worksheet (6)'!B32</f>
        <v>11003</v>
      </c>
      <c r="C31" s="213" t="str">
        <f t="shared" si="4"/>
        <v>Kendaraan</v>
      </c>
      <c r="D31" s="85" t="str">
        <f t="shared" si="5"/>
        <v>Db</v>
      </c>
      <c r="E31" s="80">
        <f t="shared" ca="1" si="6"/>
        <v>0</v>
      </c>
      <c r="F31" s="97">
        <f t="shared" si="7"/>
        <v>0</v>
      </c>
    </row>
    <row r="32" spans="2:6" ht="15" thickBot="1" x14ac:dyDescent="0.35">
      <c r="B32" s="212">
        <f>'Worksheet (6)'!B33</f>
        <v>11004</v>
      </c>
      <c r="C32" s="213" t="str">
        <f t="shared" si="4"/>
        <v>Akumulasi Penyusutan Peralatanan Kendaraan</v>
      </c>
      <c r="D32" s="85" t="str">
        <f t="shared" si="5"/>
        <v>Kr</v>
      </c>
      <c r="E32" s="80">
        <f t="shared" si="6"/>
        <v>0</v>
      </c>
      <c r="F32" s="97">
        <f t="shared" ca="1" si="7"/>
        <v>0</v>
      </c>
    </row>
    <row r="33" spans="2:7" ht="15" thickBot="1" x14ac:dyDescent="0.35">
      <c r="B33" s="212">
        <f>'Worksheet (6)'!B34</f>
        <v>11005</v>
      </c>
      <c r="C33" s="213" t="str">
        <f t="shared" si="4"/>
        <v>Gedung</v>
      </c>
      <c r="D33" s="85" t="str">
        <f t="shared" si="5"/>
        <v>Db</v>
      </c>
      <c r="E33" s="80">
        <f t="shared" ca="1" si="6"/>
        <v>0</v>
      </c>
      <c r="F33" s="97">
        <f t="shared" si="7"/>
        <v>0</v>
      </c>
    </row>
    <row r="34" spans="2:7" ht="15" thickBot="1" x14ac:dyDescent="0.35">
      <c r="B34" s="212">
        <f>'Worksheet (6)'!B35</f>
        <v>11006</v>
      </c>
      <c r="C34" s="213" t="str">
        <f t="shared" si="4"/>
        <v>Akumulasi Penyusutan Gedung</v>
      </c>
      <c r="D34" s="85" t="str">
        <f t="shared" si="5"/>
        <v>Kr</v>
      </c>
      <c r="E34" s="80">
        <f t="shared" si="6"/>
        <v>0</v>
      </c>
      <c r="F34" s="97">
        <f t="shared" ca="1" si="7"/>
        <v>0</v>
      </c>
    </row>
    <row r="35" spans="2:7" ht="15" thickBot="1" x14ac:dyDescent="0.35">
      <c r="B35" s="212">
        <f>'Worksheet (6)'!B36</f>
        <v>11007</v>
      </c>
      <c r="C35" s="213" t="str">
        <f t="shared" si="4"/>
        <v>Mesin</v>
      </c>
      <c r="D35" s="85" t="str">
        <f t="shared" si="5"/>
        <v>Db</v>
      </c>
      <c r="E35" s="80">
        <f t="shared" ca="1" si="6"/>
        <v>0</v>
      </c>
      <c r="F35" s="97">
        <f t="shared" si="7"/>
        <v>0</v>
      </c>
    </row>
    <row r="36" spans="2:7" ht="15" thickBot="1" x14ac:dyDescent="0.35">
      <c r="B36" s="212">
        <f>'Worksheet (6)'!B37</f>
        <v>11008</v>
      </c>
      <c r="C36" s="213" t="str">
        <f t="shared" si="4"/>
        <v>Akumulasi Penyusutan Mesin</v>
      </c>
      <c r="D36" s="85" t="str">
        <f t="shared" si="5"/>
        <v>Kr</v>
      </c>
      <c r="E36" s="80">
        <f t="shared" si="6"/>
        <v>0</v>
      </c>
      <c r="F36" s="97">
        <f t="shared" ca="1" si="7"/>
        <v>0</v>
      </c>
    </row>
    <row r="37" spans="2:7" ht="15" thickBot="1" x14ac:dyDescent="0.35">
      <c r="B37" s="212">
        <f>'Worksheet (6)'!B38</f>
        <v>11009</v>
      </c>
      <c r="C37" s="213" t="str">
        <f t="shared" si="4"/>
        <v>Peralatan Toko</v>
      </c>
      <c r="D37" s="85" t="str">
        <f t="shared" si="5"/>
        <v>Db</v>
      </c>
      <c r="E37" s="80">
        <f t="shared" ca="1" si="6"/>
        <v>0</v>
      </c>
      <c r="F37" s="97">
        <f t="shared" si="7"/>
        <v>0</v>
      </c>
    </row>
    <row r="38" spans="2:7" ht="15" thickBot="1" x14ac:dyDescent="0.35">
      <c r="B38" s="212">
        <f>'Worksheet (6)'!B39</f>
        <v>11010</v>
      </c>
      <c r="C38" s="213" t="str">
        <f t="shared" si="4"/>
        <v>Akumulasi Penyusutan Peralatan Toko</v>
      </c>
      <c r="D38" s="85" t="str">
        <f t="shared" si="5"/>
        <v>Kr</v>
      </c>
      <c r="E38" s="80">
        <f t="shared" si="6"/>
        <v>0</v>
      </c>
      <c r="F38" s="97">
        <f t="shared" ca="1" si="7"/>
        <v>0</v>
      </c>
    </row>
    <row r="39" spans="2:7" ht="15" thickBot="1" x14ac:dyDescent="0.35">
      <c r="B39" s="212">
        <f>'Worksheet (6)'!B40</f>
        <v>11011</v>
      </c>
      <c r="C39" s="213" t="str">
        <f t="shared" si="4"/>
        <v xml:space="preserve">Tanah </v>
      </c>
      <c r="D39" s="85" t="str">
        <f t="shared" si="5"/>
        <v>Db</v>
      </c>
      <c r="E39" s="80">
        <f t="shared" ca="1" si="6"/>
        <v>0</v>
      </c>
      <c r="F39" s="97">
        <f t="shared" si="7"/>
        <v>0</v>
      </c>
    </row>
    <row r="40" spans="2:7" ht="15" thickBot="1" x14ac:dyDescent="0.35">
      <c r="B40" s="212">
        <f>'Worksheet (6)'!B41</f>
        <v>11012</v>
      </c>
      <c r="C40" s="213">
        <f t="shared" si="4"/>
        <v>0</v>
      </c>
      <c r="D40" s="85" t="str">
        <f t="shared" si="5"/>
        <v>Db</v>
      </c>
      <c r="E40" s="80">
        <f t="shared" ca="1" si="6"/>
        <v>0</v>
      </c>
      <c r="F40" s="97">
        <f t="shared" si="7"/>
        <v>0</v>
      </c>
    </row>
    <row r="41" spans="2:7" ht="15" thickBot="1" x14ac:dyDescent="0.35">
      <c r="B41" s="212">
        <f>'Worksheet (6)'!B42</f>
        <v>11013</v>
      </c>
      <c r="C41" s="213">
        <f t="shared" si="4"/>
        <v>0</v>
      </c>
      <c r="D41" s="85" t="str">
        <f t="shared" si="5"/>
        <v>Db</v>
      </c>
      <c r="E41" s="80">
        <f t="shared" ca="1" si="6"/>
        <v>0</v>
      </c>
      <c r="F41" s="97">
        <f t="shared" si="7"/>
        <v>0</v>
      </c>
    </row>
    <row r="42" spans="2:7" ht="15" thickBot="1" x14ac:dyDescent="0.35">
      <c r="B42" s="212">
        <f>'Worksheet (6)'!B43</f>
        <v>11014</v>
      </c>
      <c r="C42" s="213">
        <f t="shared" si="4"/>
        <v>0</v>
      </c>
      <c r="D42" s="85" t="str">
        <f t="shared" si="5"/>
        <v>Db</v>
      </c>
      <c r="E42" s="80">
        <f t="shared" ca="1" si="6"/>
        <v>0</v>
      </c>
      <c r="F42" s="97">
        <f t="shared" si="7"/>
        <v>0</v>
      </c>
    </row>
    <row r="43" spans="2:7" ht="15" thickBot="1" x14ac:dyDescent="0.35">
      <c r="B43" s="176">
        <f>'Worksheet (6)'!B44</f>
        <v>11015</v>
      </c>
      <c r="C43" s="175">
        <f t="shared" si="4"/>
        <v>0</v>
      </c>
      <c r="D43" s="59" t="str">
        <f t="shared" si="5"/>
        <v>Db</v>
      </c>
      <c r="E43" s="82">
        <f>'Financial Position statemen(11)'!E88</f>
        <v>0</v>
      </c>
      <c r="F43" s="82">
        <f ca="1">'Financial Position statemen(11)'!F88</f>
        <v>590000</v>
      </c>
    </row>
    <row r="44" spans="2:7" ht="15" thickBot="1" x14ac:dyDescent="0.35">
      <c r="B44" s="45"/>
      <c r="C44" s="157"/>
      <c r="D44" s="75"/>
      <c r="E44" s="79">
        <f ca="1">SUM(E7:E43)</f>
        <v>590000</v>
      </c>
      <c r="F44" s="214">
        <f t="shared" ref="F44" ca="1" si="8">SUM(F7:F43)</f>
        <v>590000</v>
      </c>
      <c r="G44" s="66"/>
    </row>
  </sheetData>
  <mergeCells count="4">
    <mergeCell ref="B2:F2"/>
    <mergeCell ref="B3:F3"/>
    <mergeCell ref="B4:F4"/>
    <mergeCell ref="B5:F5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784CA-0E85-4B8D-A4C5-5122C8A50756}">
  <dimension ref="B1:D25"/>
  <sheetViews>
    <sheetView workbookViewId="0">
      <selection activeCell="G16" sqref="G16"/>
    </sheetView>
  </sheetViews>
  <sheetFormatPr defaultRowHeight="14.4" x14ac:dyDescent="0.3"/>
  <cols>
    <col min="2" max="2" width="12" customWidth="1"/>
  </cols>
  <sheetData>
    <row r="1" spans="2:4" ht="15" thickBot="1" x14ac:dyDescent="0.35"/>
    <row r="2" spans="2:4" ht="15" thickBot="1" x14ac:dyDescent="0.35">
      <c r="B2" s="225" t="s">
        <v>126</v>
      </c>
      <c r="C2" s="226"/>
      <c r="D2" s="227"/>
    </row>
    <row r="3" spans="2:4" x14ac:dyDescent="0.3">
      <c r="B3" s="61" t="s">
        <v>127</v>
      </c>
      <c r="D3" s="62"/>
    </row>
    <row r="4" spans="2:4" x14ac:dyDescent="0.3">
      <c r="B4" s="61" t="s">
        <v>128</v>
      </c>
      <c r="D4" s="62"/>
    </row>
    <row r="5" spans="2:4" x14ac:dyDescent="0.3">
      <c r="B5" s="61"/>
      <c r="D5" s="62"/>
    </row>
    <row r="6" spans="2:4" x14ac:dyDescent="0.3">
      <c r="B6" s="61" t="s">
        <v>148</v>
      </c>
      <c r="D6" s="62"/>
    </row>
    <row r="7" spans="2:4" x14ac:dyDescent="0.3">
      <c r="B7" s="61" t="s">
        <v>149</v>
      </c>
      <c r="D7" s="62"/>
    </row>
    <row r="8" spans="2:4" x14ac:dyDescent="0.3">
      <c r="B8" s="61"/>
      <c r="D8" s="62"/>
    </row>
    <row r="9" spans="2:4" x14ac:dyDescent="0.3">
      <c r="B9" s="99" t="s">
        <v>154</v>
      </c>
      <c r="D9" s="62"/>
    </row>
    <row r="10" spans="2:4" x14ac:dyDescent="0.3">
      <c r="B10" s="100" t="s">
        <v>149</v>
      </c>
      <c r="D10" s="62"/>
    </row>
    <row r="11" spans="2:4" x14ac:dyDescent="0.3">
      <c r="B11" s="61"/>
      <c r="D11" s="62"/>
    </row>
    <row r="12" spans="2:4" x14ac:dyDescent="0.3">
      <c r="B12" s="104" t="s">
        <v>61</v>
      </c>
      <c r="D12" s="62"/>
    </row>
    <row r="13" spans="2:4" x14ac:dyDescent="0.3">
      <c r="B13" s="61"/>
      <c r="D13" s="62"/>
    </row>
    <row r="14" spans="2:4" x14ac:dyDescent="0.3">
      <c r="B14" s="106" t="s">
        <v>155</v>
      </c>
      <c r="C14" s="107" t="s">
        <v>158</v>
      </c>
      <c r="D14" s="108" t="s">
        <v>159</v>
      </c>
    </row>
    <row r="15" spans="2:4" x14ac:dyDescent="0.3">
      <c r="B15" s="109" t="s">
        <v>156</v>
      </c>
      <c r="C15" s="110" t="s">
        <v>160</v>
      </c>
      <c r="D15" s="111" t="s">
        <v>161</v>
      </c>
    </row>
    <row r="16" spans="2:4" x14ac:dyDescent="0.3">
      <c r="B16" s="112" t="s">
        <v>157</v>
      </c>
      <c r="C16" s="105" t="s">
        <v>163</v>
      </c>
      <c r="D16" s="113" t="s">
        <v>162</v>
      </c>
    </row>
    <row r="17" spans="2:4" x14ac:dyDescent="0.3">
      <c r="B17" s="61"/>
      <c r="D17" s="62"/>
    </row>
    <row r="18" spans="2:4" x14ac:dyDescent="0.3">
      <c r="B18" s="61"/>
      <c r="D18" s="62"/>
    </row>
    <row r="19" spans="2:4" x14ac:dyDescent="0.3">
      <c r="B19" s="61"/>
      <c r="D19" s="62"/>
    </row>
    <row r="20" spans="2:4" x14ac:dyDescent="0.3">
      <c r="B20" s="61"/>
      <c r="D20" s="62"/>
    </row>
    <row r="21" spans="2:4" x14ac:dyDescent="0.3">
      <c r="B21" s="61"/>
      <c r="D21" s="62"/>
    </row>
    <row r="22" spans="2:4" x14ac:dyDescent="0.3">
      <c r="B22" s="61"/>
      <c r="D22" s="62"/>
    </row>
    <row r="23" spans="2:4" x14ac:dyDescent="0.3">
      <c r="B23" s="61"/>
      <c r="D23" s="62"/>
    </row>
    <row r="24" spans="2:4" x14ac:dyDescent="0.3">
      <c r="B24" s="61"/>
      <c r="D24" s="62"/>
    </row>
    <row r="25" spans="2:4" ht="15" thickBot="1" x14ac:dyDescent="0.35">
      <c r="B25" s="63"/>
      <c r="C25" s="64"/>
      <c r="D25" s="65"/>
    </row>
  </sheetData>
  <mergeCells count="1">
    <mergeCell ref="B2:D2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9C193-B066-4C50-9C09-0721B34495D8}">
  <dimension ref="B5:U44"/>
  <sheetViews>
    <sheetView topLeftCell="A45" zoomScale="107" zoomScaleNormal="107" workbookViewId="0">
      <selection activeCell="M57" sqref="M57"/>
    </sheetView>
  </sheetViews>
  <sheetFormatPr defaultRowHeight="14.4" x14ac:dyDescent="0.3"/>
  <cols>
    <col min="6" max="6" width="17.33203125" customWidth="1"/>
    <col min="8" max="8" width="17.21875" customWidth="1"/>
    <col min="9" max="9" width="16.6640625" customWidth="1"/>
    <col min="10" max="10" width="13.77734375" customWidth="1"/>
    <col min="12" max="12" width="7.5546875" customWidth="1"/>
    <col min="13" max="13" width="18.5546875" customWidth="1"/>
    <col min="15" max="15" width="14.33203125" customWidth="1"/>
    <col min="16" max="16" width="19.77734375" customWidth="1"/>
    <col min="17" max="17" width="18.77734375" customWidth="1"/>
    <col min="19" max="19" width="20.5546875" customWidth="1"/>
    <col min="20" max="20" width="21.109375" customWidth="1"/>
  </cols>
  <sheetData>
    <row r="5" spans="2:21" x14ac:dyDescent="0.3">
      <c r="C5" t="s">
        <v>84</v>
      </c>
    </row>
    <row r="7" spans="2:21" x14ac:dyDescent="0.3">
      <c r="B7">
        <v>1</v>
      </c>
      <c r="C7">
        <v>35</v>
      </c>
      <c r="D7">
        <v>25</v>
      </c>
      <c r="E7">
        <v>26</v>
      </c>
      <c r="F7">
        <f>IFERROR(IF(B7&gt;0,C7+D7,C7-E7),"")</f>
        <v>60</v>
      </c>
    </row>
    <row r="8" spans="2:21" x14ac:dyDescent="0.3">
      <c r="F8">
        <f>IF(B8&gt;0,C8+D8,C8-E8)</f>
        <v>0</v>
      </c>
    </row>
    <row r="10" spans="2:21" x14ac:dyDescent="0.3">
      <c r="O10" t="s">
        <v>85</v>
      </c>
    </row>
    <row r="11" spans="2:21" x14ac:dyDescent="0.3">
      <c r="D11" t="s">
        <v>85</v>
      </c>
      <c r="O11" t="s">
        <v>86</v>
      </c>
      <c r="P11" t="s">
        <v>93</v>
      </c>
      <c r="Q11" t="s">
        <v>94</v>
      </c>
      <c r="T11" t="s">
        <v>96</v>
      </c>
    </row>
    <row r="12" spans="2:21" x14ac:dyDescent="0.3">
      <c r="D12" t="s">
        <v>86</v>
      </c>
      <c r="E12" t="s">
        <v>93</v>
      </c>
      <c r="F12" t="s">
        <v>94</v>
      </c>
      <c r="I12" t="s">
        <v>96</v>
      </c>
      <c r="O12" t="s">
        <v>87</v>
      </c>
      <c r="P12" t="s">
        <v>93</v>
      </c>
      <c r="Q12" t="s">
        <v>95</v>
      </c>
      <c r="T12" t="s">
        <v>94</v>
      </c>
      <c r="U12" s="18">
        <v>200000</v>
      </c>
    </row>
    <row r="13" spans="2:21" x14ac:dyDescent="0.3">
      <c r="D13" t="s">
        <v>87</v>
      </c>
      <c r="E13" t="s">
        <v>93</v>
      </c>
      <c r="F13" t="s">
        <v>95</v>
      </c>
      <c r="I13" t="s">
        <v>94</v>
      </c>
      <c r="J13" s="18">
        <v>200000</v>
      </c>
      <c r="O13" t="s">
        <v>88</v>
      </c>
      <c r="P13" t="s">
        <v>93</v>
      </c>
      <c r="Q13" t="s">
        <v>95</v>
      </c>
      <c r="T13" t="s">
        <v>97</v>
      </c>
      <c r="U13" s="18">
        <v>150000</v>
      </c>
    </row>
    <row r="14" spans="2:21" x14ac:dyDescent="0.3">
      <c r="D14" t="s">
        <v>88</v>
      </c>
      <c r="E14" t="s">
        <v>93</v>
      </c>
      <c r="F14" t="s">
        <v>95</v>
      </c>
      <c r="I14" t="s">
        <v>97</v>
      </c>
      <c r="J14" s="18">
        <v>150000</v>
      </c>
      <c r="O14" t="s">
        <v>89</v>
      </c>
      <c r="P14" t="s">
        <v>93</v>
      </c>
      <c r="Q14" t="s">
        <v>95</v>
      </c>
    </row>
    <row r="15" spans="2:21" x14ac:dyDescent="0.3">
      <c r="D15" t="s">
        <v>89</v>
      </c>
      <c r="E15" t="s">
        <v>93</v>
      </c>
      <c r="F15" t="s">
        <v>95</v>
      </c>
      <c r="O15" t="s">
        <v>90</v>
      </c>
      <c r="P15" t="s">
        <v>93</v>
      </c>
      <c r="Q15" t="s">
        <v>94</v>
      </c>
      <c r="T15" t="s">
        <v>98</v>
      </c>
    </row>
    <row r="16" spans="2:21" x14ac:dyDescent="0.3">
      <c r="D16" t="s">
        <v>90</v>
      </c>
      <c r="E16" t="s">
        <v>93</v>
      </c>
      <c r="F16" t="s">
        <v>94</v>
      </c>
      <c r="I16" t="s">
        <v>98</v>
      </c>
      <c r="O16" t="s">
        <v>91</v>
      </c>
      <c r="P16" t="s">
        <v>93</v>
      </c>
      <c r="Q16" t="s">
        <v>94</v>
      </c>
    </row>
    <row r="17" spans="4:20" x14ac:dyDescent="0.3">
      <c r="D17" t="s">
        <v>91</v>
      </c>
      <c r="E17" t="s">
        <v>93</v>
      </c>
      <c r="F17" t="s">
        <v>94</v>
      </c>
      <c r="O17" t="s">
        <v>92</v>
      </c>
      <c r="P17" t="s">
        <v>93</v>
      </c>
      <c r="Q17" t="s">
        <v>94</v>
      </c>
      <c r="T17" t="s">
        <v>108</v>
      </c>
    </row>
    <row r="18" spans="4:20" x14ac:dyDescent="0.3">
      <c r="D18" t="s">
        <v>92</v>
      </c>
      <c r="E18" t="s">
        <v>93</v>
      </c>
      <c r="F18" t="s">
        <v>94</v>
      </c>
      <c r="I18" t="s">
        <v>108</v>
      </c>
      <c r="O18" t="s">
        <v>99</v>
      </c>
      <c r="P18" t="s">
        <v>93</v>
      </c>
      <c r="Q18" t="s">
        <v>95</v>
      </c>
    </row>
    <row r="19" spans="4:20" x14ac:dyDescent="0.3">
      <c r="D19" t="s">
        <v>99</v>
      </c>
      <c r="E19" t="s">
        <v>93</v>
      </c>
      <c r="F19" t="s">
        <v>95</v>
      </c>
      <c r="O19" t="s">
        <v>100</v>
      </c>
      <c r="P19" t="s">
        <v>93</v>
      </c>
      <c r="Q19" t="s">
        <v>94</v>
      </c>
    </row>
    <row r="20" spans="4:20" x14ac:dyDescent="0.3">
      <c r="D20" t="s">
        <v>100</v>
      </c>
      <c r="E20" t="s">
        <v>93</v>
      </c>
      <c r="F20" t="s">
        <v>94</v>
      </c>
      <c r="O20" t="s">
        <v>101</v>
      </c>
      <c r="P20" t="s">
        <v>93</v>
      </c>
      <c r="Q20" t="s">
        <v>95</v>
      </c>
    </row>
    <row r="21" spans="4:20" x14ac:dyDescent="0.3">
      <c r="D21" t="s">
        <v>101</v>
      </c>
      <c r="E21" t="s">
        <v>93</v>
      </c>
      <c r="F21" t="s">
        <v>95</v>
      </c>
      <c r="O21" t="s">
        <v>102</v>
      </c>
      <c r="P21" t="s">
        <v>93</v>
      </c>
      <c r="Q21" t="s">
        <v>94</v>
      </c>
    </row>
    <row r="22" spans="4:20" x14ac:dyDescent="0.3">
      <c r="D22" t="s">
        <v>102</v>
      </c>
      <c r="E22" t="s">
        <v>93</v>
      </c>
      <c r="F22" t="s">
        <v>94</v>
      </c>
      <c r="O22" t="s">
        <v>103</v>
      </c>
      <c r="P22" t="s">
        <v>93</v>
      </c>
      <c r="Q22" t="s">
        <v>95</v>
      </c>
    </row>
    <row r="23" spans="4:20" x14ac:dyDescent="0.3">
      <c r="D23" t="s">
        <v>103</v>
      </c>
      <c r="E23" t="s">
        <v>93</v>
      </c>
      <c r="F23" t="s">
        <v>95</v>
      </c>
      <c r="O23" t="s">
        <v>104</v>
      </c>
      <c r="P23" t="s">
        <v>93</v>
      </c>
      <c r="Q23" t="s">
        <v>95</v>
      </c>
    </row>
    <row r="24" spans="4:20" x14ac:dyDescent="0.3">
      <c r="D24" t="s">
        <v>104</v>
      </c>
      <c r="E24" t="s">
        <v>93</v>
      </c>
      <c r="F24" t="s">
        <v>95</v>
      </c>
      <c r="O24" t="s">
        <v>105</v>
      </c>
      <c r="P24" t="s">
        <v>93</v>
      </c>
      <c r="Q24" t="s">
        <v>94</v>
      </c>
    </row>
    <row r="25" spans="4:20" x14ac:dyDescent="0.3">
      <c r="D25" t="s">
        <v>105</v>
      </c>
      <c r="E25" t="s">
        <v>93</v>
      </c>
      <c r="F25" t="s">
        <v>94</v>
      </c>
    </row>
    <row r="27" spans="4:20" ht="15" thickBot="1" x14ac:dyDescent="0.35"/>
    <row r="28" spans="4:20" x14ac:dyDescent="0.3">
      <c r="D28" t="s">
        <v>106</v>
      </c>
      <c r="F28" t="s">
        <v>93</v>
      </c>
      <c r="G28" t="s">
        <v>15</v>
      </c>
      <c r="H28" t="s">
        <v>107</v>
      </c>
      <c r="I28" t="s">
        <v>110</v>
      </c>
      <c r="K28" s="68" t="s">
        <v>106</v>
      </c>
      <c r="L28" s="69"/>
      <c r="M28" s="69" t="s">
        <v>93</v>
      </c>
      <c r="N28" s="69" t="s">
        <v>15</v>
      </c>
      <c r="O28" s="69" t="s">
        <v>145</v>
      </c>
      <c r="P28" s="70"/>
    </row>
    <row r="29" spans="4:20" x14ac:dyDescent="0.3">
      <c r="D29" t="s">
        <v>86</v>
      </c>
      <c r="E29" t="s">
        <v>93</v>
      </c>
      <c r="F29" t="s">
        <v>109</v>
      </c>
      <c r="G29">
        <f t="shared" ref="G29:G42" si="0">IF(F29="Kutoarjo bandung",0,1)</f>
        <v>0</v>
      </c>
      <c r="H29" s="18" t="str">
        <f>IF(G29=1,$J$14,"")</f>
        <v/>
      </c>
      <c r="I29" s="18">
        <f>IFERROR(IF(G29=0,$J$13,""),"")</f>
        <v>200000</v>
      </c>
      <c r="K29" s="61" t="s">
        <v>86</v>
      </c>
      <c r="L29" t="s">
        <v>93</v>
      </c>
      <c r="M29" t="s">
        <v>109</v>
      </c>
      <c r="N29">
        <f>IF(M29="Kutoarjo bandung",0,1)</f>
        <v>0</v>
      </c>
      <c r="O29" s="71">
        <f>IF(N29=0,200000,150000)</f>
        <v>200000</v>
      </c>
      <c r="P29" s="72"/>
      <c r="Q29" s="67"/>
    </row>
    <row r="30" spans="4:20" x14ac:dyDescent="0.3">
      <c r="D30" t="s">
        <v>87</v>
      </c>
      <c r="E30" t="s">
        <v>93</v>
      </c>
      <c r="F30" t="s">
        <v>95</v>
      </c>
      <c r="G30">
        <f t="shared" si="0"/>
        <v>1</v>
      </c>
      <c r="H30" s="18">
        <f t="shared" ref="H30:H42" si="1">IF(G30=1,$J$14,"")</f>
        <v>150000</v>
      </c>
      <c r="I30" s="18" t="str">
        <f t="shared" ref="I30:I42" si="2">IF(G30=0,$J$13,"")</f>
        <v/>
      </c>
      <c r="K30" s="61" t="s">
        <v>87</v>
      </c>
      <c r="L30" t="s">
        <v>93</v>
      </c>
      <c r="M30" t="s">
        <v>146</v>
      </c>
      <c r="N30">
        <f>IF(M30="Kutoarjo bandung",0,1)</f>
        <v>1</v>
      </c>
      <c r="O30" s="71">
        <f>IF(N30=0,200000,150000)</f>
        <v>150000</v>
      </c>
      <c r="P30" s="72"/>
      <c r="Q30" s="67"/>
    </row>
    <row r="31" spans="4:20" x14ac:dyDescent="0.3">
      <c r="D31" t="s">
        <v>88</v>
      </c>
      <c r="E31" t="s">
        <v>93</v>
      </c>
      <c r="F31" t="s">
        <v>95</v>
      </c>
      <c r="G31">
        <f t="shared" si="0"/>
        <v>1</v>
      </c>
      <c r="H31" s="18">
        <f t="shared" si="1"/>
        <v>150000</v>
      </c>
      <c r="I31" s="18" t="str">
        <f t="shared" si="2"/>
        <v/>
      </c>
      <c r="K31" s="61" t="s">
        <v>88</v>
      </c>
      <c r="L31" t="s">
        <v>93</v>
      </c>
      <c r="M31" t="s">
        <v>95</v>
      </c>
      <c r="N31">
        <f t="shared" ref="N31:N42" si="3">IF(M31="Kutoarjo bandung",0,1)</f>
        <v>1</v>
      </c>
      <c r="O31" s="71">
        <f>IF(N31=0,200000,150000)</f>
        <v>150000</v>
      </c>
      <c r="P31" s="72"/>
      <c r="Q31" s="67"/>
    </row>
    <row r="32" spans="4:20" x14ac:dyDescent="0.3">
      <c r="D32" t="s">
        <v>89</v>
      </c>
      <c r="E32" t="s">
        <v>93</v>
      </c>
      <c r="F32" t="s">
        <v>95</v>
      </c>
      <c r="G32">
        <f t="shared" si="0"/>
        <v>1</v>
      </c>
      <c r="H32" s="18">
        <f t="shared" si="1"/>
        <v>150000</v>
      </c>
      <c r="I32" s="18" t="str">
        <f t="shared" si="2"/>
        <v/>
      </c>
      <c r="K32" s="61" t="s">
        <v>89</v>
      </c>
      <c r="L32" t="s">
        <v>93</v>
      </c>
      <c r="M32" t="s">
        <v>95</v>
      </c>
      <c r="N32">
        <f t="shared" si="3"/>
        <v>1</v>
      </c>
      <c r="O32" s="71">
        <f t="shared" ref="O32:O42" si="4">IF(N32=0,200000,150000)</f>
        <v>150000</v>
      </c>
      <c r="P32" s="72"/>
      <c r="Q32" s="67"/>
    </row>
    <row r="33" spans="4:17" x14ac:dyDescent="0.3">
      <c r="D33" t="s">
        <v>90</v>
      </c>
      <c r="E33" t="s">
        <v>93</v>
      </c>
      <c r="F33" t="s">
        <v>109</v>
      </c>
      <c r="G33">
        <f t="shared" si="0"/>
        <v>0</v>
      </c>
      <c r="H33" s="18" t="str">
        <f t="shared" si="1"/>
        <v/>
      </c>
      <c r="I33" s="18">
        <f t="shared" si="2"/>
        <v>200000</v>
      </c>
      <c r="K33" s="61" t="s">
        <v>90</v>
      </c>
      <c r="L33" t="s">
        <v>93</v>
      </c>
      <c r="M33" t="s">
        <v>109</v>
      </c>
      <c r="N33">
        <f t="shared" si="3"/>
        <v>0</v>
      </c>
      <c r="O33" s="71">
        <f t="shared" si="4"/>
        <v>200000</v>
      </c>
      <c r="P33" s="72"/>
      <c r="Q33" s="67"/>
    </row>
    <row r="34" spans="4:17" x14ac:dyDescent="0.3">
      <c r="D34" t="s">
        <v>91</v>
      </c>
      <c r="E34" t="s">
        <v>93</v>
      </c>
      <c r="F34" t="s">
        <v>109</v>
      </c>
      <c r="G34">
        <f t="shared" si="0"/>
        <v>0</v>
      </c>
      <c r="H34" s="18" t="str">
        <f t="shared" si="1"/>
        <v/>
      </c>
      <c r="I34" s="18">
        <f t="shared" si="2"/>
        <v>200000</v>
      </c>
      <c r="K34" s="61" t="s">
        <v>91</v>
      </c>
      <c r="L34" t="s">
        <v>93</v>
      </c>
      <c r="M34" t="s">
        <v>109</v>
      </c>
      <c r="N34">
        <f t="shared" si="3"/>
        <v>0</v>
      </c>
      <c r="O34" s="71">
        <f t="shared" si="4"/>
        <v>200000</v>
      </c>
      <c r="P34" s="72"/>
      <c r="Q34" s="67"/>
    </row>
    <row r="35" spans="4:17" x14ac:dyDescent="0.3">
      <c r="D35" t="s">
        <v>92</v>
      </c>
      <c r="E35" t="s">
        <v>93</v>
      </c>
      <c r="F35" t="s">
        <v>109</v>
      </c>
      <c r="G35">
        <f t="shared" si="0"/>
        <v>0</v>
      </c>
      <c r="H35" s="18" t="str">
        <f t="shared" si="1"/>
        <v/>
      </c>
      <c r="I35" s="18">
        <f t="shared" si="2"/>
        <v>200000</v>
      </c>
      <c r="K35" s="61" t="s">
        <v>92</v>
      </c>
      <c r="L35" t="s">
        <v>93</v>
      </c>
      <c r="M35" t="s">
        <v>109</v>
      </c>
      <c r="N35">
        <f t="shared" si="3"/>
        <v>0</v>
      </c>
      <c r="O35" s="71">
        <f t="shared" si="4"/>
        <v>200000</v>
      </c>
      <c r="P35" s="72"/>
      <c r="Q35" s="67"/>
    </row>
    <row r="36" spans="4:17" x14ac:dyDescent="0.3">
      <c r="D36" t="s">
        <v>99</v>
      </c>
      <c r="E36" t="s">
        <v>93</v>
      </c>
      <c r="F36" t="s">
        <v>95</v>
      </c>
      <c r="G36">
        <f t="shared" si="0"/>
        <v>1</v>
      </c>
      <c r="H36" s="18">
        <f t="shared" si="1"/>
        <v>150000</v>
      </c>
      <c r="I36" s="18" t="str">
        <f t="shared" si="2"/>
        <v/>
      </c>
      <c r="K36" s="61" t="s">
        <v>99</v>
      </c>
      <c r="L36" t="s">
        <v>93</v>
      </c>
      <c r="M36" t="s">
        <v>95</v>
      </c>
      <c r="N36">
        <f t="shared" si="3"/>
        <v>1</v>
      </c>
      <c r="O36" s="71">
        <f t="shared" si="4"/>
        <v>150000</v>
      </c>
      <c r="P36" s="72"/>
      <c r="Q36" s="67"/>
    </row>
    <row r="37" spans="4:17" x14ac:dyDescent="0.3">
      <c r="D37" t="s">
        <v>100</v>
      </c>
      <c r="E37" t="s">
        <v>93</v>
      </c>
      <c r="F37" t="s">
        <v>109</v>
      </c>
      <c r="G37">
        <f t="shared" si="0"/>
        <v>0</v>
      </c>
      <c r="H37" s="18" t="str">
        <f t="shared" si="1"/>
        <v/>
      </c>
      <c r="I37" s="18">
        <f t="shared" si="2"/>
        <v>200000</v>
      </c>
      <c r="K37" s="61" t="s">
        <v>100</v>
      </c>
      <c r="L37" t="s">
        <v>93</v>
      </c>
      <c r="M37" t="s">
        <v>109</v>
      </c>
      <c r="N37">
        <f t="shared" si="3"/>
        <v>0</v>
      </c>
      <c r="O37" s="71">
        <f t="shared" si="4"/>
        <v>200000</v>
      </c>
      <c r="P37" s="72"/>
      <c r="Q37" s="67"/>
    </row>
    <row r="38" spans="4:17" x14ac:dyDescent="0.3">
      <c r="D38" t="s">
        <v>101</v>
      </c>
      <c r="E38" t="s">
        <v>93</v>
      </c>
      <c r="F38" t="s">
        <v>95</v>
      </c>
      <c r="G38">
        <f t="shared" si="0"/>
        <v>1</v>
      </c>
      <c r="H38" s="18">
        <f t="shared" si="1"/>
        <v>150000</v>
      </c>
      <c r="I38" s="18" t="str">
        <f t="shared" si="2"/>
        <v/>
      </c>
      <c r="K38" s="61" t="s">
        <v>101</v>
      </c>
      <c r="L38" t="s">
        <v>93</v>
      </c>
      <c r="M38" t="s">
        <v>95</v>
      </c>
      <c r="N38">
        <f t="shared" si="3"/>
        <v>1</v>
      </c>
      <c r="O38" s="71">
        <f t="shared" si="4"/>
        <v>150000</v>
      </c>
      <c r="P38" s="72"/>
      <c r="Q38" s="67"/>
    </row>
    <row r="39" spans="4:17" x14ac:dyDescent="0.3">
      <c r="D39" t="s">
        <v>102</v>
      </c>
      <c r="E39" t="s">
        <v>93</v>
      </c>
      <c r="F39" t="s">
        <v>109</v>
      </c>
      <c r="G39">
        <f t="shared" si="0"/>
        <v>0</v>
      </c>
      <c r="H39" s="18" t="str">
        <f t="shared" si="1"/>
        <v/>
      </c>
      <c r="I39" s="18">
        <f t="shared" si="2"/>
        <v>200000</v>
      </c>
      <c r="K39" s="61" t="s">
        <v>102</v>
      </c>
      <c r="L39" t="s">
        <v>93</v>
      </c>
      <c r="M39" t="s">
        <v>109</v>
      </c>
      <c r="N39">
        <f t="shared" si="3"/>
        <v>0</v>
      </c>
      <c r="O39" s="71">
        <f t="shared" si="4"/>
        <v>200000</v>
      </c>
      <c r="P39" s="72"/>
      <c r="Q39" s="67"/>
    </row>
    <row r="40" spans="4:17" x14ac:dyDescent="0.3">
      <c r="D40" t="s">
        <v>103</v>
      </c>
      <c r="E40" t="s">
        <v>93</v>
      </c>
      <c r="F40" t="s">
        <v>95</v>
      </c>
      <c r="G40">
        <f t="shared" si="0"/>
        <v>1</v>
      </c>
      <c r="H40" s="18">
        <f t="shared" si="1"/>
        <v>150000</v>
      </c>
      <c r="I40" s="18" t="str">
        <f t="shared" si="2"/>
        <v/>
      </c>
      <c r="K40" s="61" t="s">
        <v>103</v>
      </c>
      <c r="L40" t="s">
        <v>93</v>
      </c>
      <c r="M40" t="s">
        <v>95</v>
      </c>
      <c r="N40">
        <f t="shared" si="3"/>
        <v>1</v>
      </c>
      <c r="O40" s="71">
        <f t="shared" si="4"/>
        <v>150000</v>
      </c>
      <c r="P40" s="72"/>
      <c r="Q40" s="67"/>
    </row>
    <row r="41" spans="4:17" x14ac:dyDescent="0.3">
      <c r="D41" t="s">
        <v>104</v>
      </c>
      <c r="E41" t="s">
        <v>93</v>
      </c>
      <c r="F41" t="s">
        <v>95</v>
      </c>
      <c r="G41">
        <f t="shared" si="0"/>
        <v>1</v>
      </c>
      <c r="H41" s="18">
        <f t="shared" si="1"/>
        <v>150000</v>
      </c>
      <c r="I41" s="18" t="str">
        <f t="shared" si="2"/>
        <v/>
      </c>
      <c r="K41" s="61" t="s">
        <v>104</v>
      </c>
      <c r="L41" t="s">
        <v>93</v>
      </c>
      <c r="M41" t="s">
        <v>95</v>
      </c>
      <c r="N41">
        <f t="shared" si="3"/>
        <v>1</v>
      </c>
      <c r="O41" s="71">
        <f t="shared" si="4"/>
        <v>150000</v>
      </c>
      <c r="P41" s="72"/>
      <c r="Q41" s="67"/>
    </row>
    <row r="42" spans="4:17" x14ac:dyDescent="0.3">
      <c r="D42" t="s">
        <v>105</v>
      </c>
      <c r="E42" t="s">
        <v>93</v>
      </c>
      <c r="F42" t="s">
        <v>109</v>
      </c>
      <c r="G42">
        <f t="shared" si="0"/>
        <v>0</v>
      </c>
      <c r="H42" s="18" t="str">
        <f t="shared" si="1"/>
        <v/>
      </c>
      <c r="I42" s="18">
        <f t="shared" si="2"/>
        <v>200000</v>
      </c>
      <c r="K42" s="61" t="s">
        <v>105</v>
      </c>
      <c r="L42" t="s">
        <v>93</v>
      </c>
      <c r="M42" t="s">
        <v>109</v>
      </c>
      <c r="N42">
        <f t="shared" si="3"/>
        <v>0</v>
      </c>
      <c r="O42" s="71">
        <f t="shared" si="4"/>
        <v>200000</v>
      </c>
      <c r="P42" s="72"/>
      <c r="Q42" s="67"/>
    </row>
    <row r="43" spans="4:17" x14ac:dyDescent="0.3">
      <c r="D43" s="280" t="s">
        <v>111</v>
      </c>
      <c r="E43" s="280"/>
      <c r="F43" s="280"/>
      <c r="G43" s="281" t="s">
        <v>61</v>
      </c>
      <c r="H43" s="18">
        <f>SUM(H29:H42)</f>
        <v>1050000</v>
      </c>
      <c r="I43" s="18">
        <f>SUM(I29:I42)</f>
        <v>1400000</v>
      </c>
      <c r="K43" s="282" t="s">
        <v>111</v>
      </c>
      <c r="L43" s="280"/>
      <c r="M43" s="280"/>
      <c r="N43" s="281" t="s">
        <v>61</v>
      </c>
      <c r="O43" s="71"/>
      <c r="P43" s="72"/>
      <c r="Q43" s="67"/>
    </row>
    <row r="44" spans="4:17" ht="15" thickBot="1" x14ac:dyDescent="0.35">
      <c r="D44" s="280"/>
      <c r="E44" s="280"/>
      <c r="F44" s="280"/>
      <c r="G44" s="280"/>
      <c r="H44" s="18"/>
      <c r="I44" s="18">
        <f>H43+I43</f>
        <v>2450000</v>
      </c>
      <c r="K44" s="283"/>
      <c r="L44" s="284"/>
      <c r="M44" s="284"/>
      <c r="N44" s="284"/>
      <c r="O44" s="73"/>
      <c r="P44" s="74"/>
      <c r="Q44" s="67"/>
    </row>
  </sheetData>
  <mergeCells count="4">
    <mergeCell ref="D43:F44"/>
    <mergeCell ref="G43:G44"/>
    <mergeCell ref="K43:M44"/>
    <mergeCell ref="N43:N4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14</vt:i4>
      </vt:variant>
    </vt:vector>
  </HeadingPairs>
  <TitlesOfParts>
    <vt:vector size="32" baseType="lpstr">
      <vt:lpstr>Menu (0)</vt:lpstr>
      <vt:lpstr>HPP</vt:lpstr>
      <vt:lpstr>Transaksi (1)</vt:lpstr>
      <vt:lpstr>Formula (2)</vt:lpstr>
      <vt:lpstr>Jurnal Umum (3)</vt:lpstr>
      <vt:lpstr>Ledger (4)</vt:lpstr>
      <vt:lpstr>Trial Balance Ledger (5)</vt:lpstr>
      <vt:lpstr>Worksheet (6)</vt:lpstr>
      <vt:lpstr>Profit And Loss (7)</vt:lpstr>
      <vt:lpstr>Changes Capital Statement (9)</vt:lpstr>
      <vt:lpstr>Analisis (10)</vt:lpstr>
      <vt:lpstr>Laporan PK Pembantu (10.2)</vt:lpstr>
      <vt:lpstr>Financial Position statemen(11)</vt:lpstr>
      <vt:lpstr>Aruskas Pengganti</vt:lpstr>
      <vt:lpstr>Closing Journal (11)</vt:lpstr>
      <vt:lpstr>Closing Trial Balance (12)</vt:lpstr>
      <vt:lpstr>Control Panel (x)</vt:lpstr>
      <vt:lpstr>Sheet1</vt:lpstr>
      <vt:lpstr>analisis</vt:lpstr>
      <vt:lpstr>'Trial Balance Ledger (5)'!Criteria</vt:lpstr>
      <vt:lpstr>daftarakun</vt:lpstr>
      <vt:lpstr>filter</vt:lpstr>
      <vt:lpstr>JB</vt:lpstr>
      <vt:lpstr>JK</vt:lpstr>
      <vt:lpstr>JU</vt:lpstr>
      <vt:lpstr>Jurnal</vt:lpstr>
      <vt:lpstr>kbju</vt:lpstr>
      <vt:lpstr>KBNS</vt:lpstr>
      <vt:lpstr>KBPNY</vt:lpstr>
      <vt:lpstr>kode</vt:lpstr>
      <vt:lpstr>neracalajur</vt:lpstr>
      <vt:lpstr>perubahanmodal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Mazmur Gusti Agung L</dc:creator>
  <cp:lastModifiedBy>Mazmur Gusti Agung Larosa</cp:lastModifiedBy>
  <cp:lastPrinted>2022-01-25T12:13:48Z</cp:lastPrinted>
  <dcterms:created xsi:type="dcterms:W3CDTF">2021-09-16T15:10:13Z</dcterms:created>
  <dcterms:modified xsi:type="dcterms:W3CDTF">2026-08-30T05:25:43Z</dcterms:modified>
</cp:coreProperties>
</file>